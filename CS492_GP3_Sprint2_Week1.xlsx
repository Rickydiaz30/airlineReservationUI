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showInkAnnotation="0" autoCompressPictures="0"/>
  <mc:AlternateContent xmlns:mc="http://schemas.openxmlformats.org/markup-compatibility/2006">
    <mc:Choice Requires="x15">
      <x15ac:absPath xmlns:x15ac="http://schemas.microsoft.com/office/spreadsheetml/2010/11/ac" url="https://d.docs.live.net/7A17F28CBDB6A8A9/Documents/"/>
    </mc:Choice>
  </mc:AlternateContent>
  <xr:revisionPtr revIDLastSave="114" documentId="8_{A76A665B-8CE9-419E-A187-8E84A598E366}" xr6:coauthVersionLast="47" xr6:coauthVersionMax="47" xr10:uidLastSave="{3E9BDD80-FC14-4B04-944E-64D71CEC1858}"/>
  <bookViews>
    <workbookView xWindow="-108" yWindow="-108" windowWidth="23256" windowHeight="13896" activeTab="1" xr2:uid="{00000000-000D-0000-FFFF-FFFF00000000}"/>
  </bookViews>
  <sheets>
    <sheet name="Sprint 1 - Week 1" sheetId="1" r:id="rId1"/>
    <sheet name="Sprint 1 - Week 2" sheetId="5" r:id="rId2"/>
    <sheet name="Sprint 2 - Week 1" sheetId="9" r:id="rId3"/>
    <sheet name="Hours Log Week-1" sheetId="2" r:id="rId4"/>
    <sheet name="Hours Log Week 2" sheetId="6" r:id="rId5"/>
    <sheet name="Hours Log Week 3" sheetId="10" r:id="rId6"/>
    <sheet name="Team Communication" sheetId="3" r:id="rId7"/>
    <sheet name="Sheet4" sheetId="12" r:id="rId8"/>
    <sheet name="Week 1 Submission Checklist" sheetId="4" r:id="rId9"/>
    <sheet name="Week 2 Submission Checklist" sheetId="8" r:id="rId10"/>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10" l="1"/>
  <c r="B22" i="10"/>
  <c r="B23" i="10"/>
  <c r="B24" i="10"/>
  <c r="B25" i="10"/>
  <c r="D23" i="9"/>
  <c r="F13" i="9"/>
  <c r="F14" i="9"/>
  <c r="F15" i="9"/>
  <c r="F16" i="9"/>
  <c r="F17" i="9"/>
  <c r="F18" i="9"/>
  <c r="F19" i="9"/>
  <c r="F20" i="9"/>
  <c r="C23" i="9"/>
  <c r="B23" i="9"/>
  <c r="B24" i="6"/>
  <c r="B23" i="6"/>
  <c r="B22" i="6"/>
  <c r="B21" i="6"/>
  <c r="B25" i="6"/>
  <c r="B24" i="2"/>
  <c r="B22" i="2"/>
  <c r="B21" i="2"/>
  <c r="B25" i="2"/>
  <c r="D23" i="5"/>
  <c r="B23" i="5"/>
  <c r="C23" i="5"/>
  <c r="D23" i="1"/>
  <c r="C23" i="1"/>
  <c r="B23" i="1"/>
</calcChain>
</file>

<file path=xl/sharedStrings.xml><?xml version="1.0" encoding="utf-8"?>
<sst xmlns="http://schemas.openxmlformats.org/spreadsheetml/2006/main" count="605" uniqueCount="254">
  <si>
    <t>CS492 Airline Reservation System — Sprint 1, Week 1</t>
  </si>
  <si>
    <t>Sprint</t>
  </si>
  <si>
    <t>Sprint 1</t>
  </si>
  <si>
    <t>Week</t>
  </si>
  <si>
    <t>Week 1</t>
  </si>
  <si>
    <t>Sprint length</t>
  </si>
  <si>
    <t>2 weeks</t>
  </si>
  <si>
    <t>Week 1 focus</t>
  </si>
  <si>
    <t>Planning, setup, and initial implementation</t>
  </si>
  <si>
    <t>Sprint goal</t>
  </si>
  <si>
    <t>Establish core functionality through registration/login, flight search, and flight-detail viewing.</t>
  </si>
  <si>
    <t>Task ID</t>
  </si>
  <si>
    <t>Story ID</t>
  </si>
  <si>
    <t>Task / Deliverable</t>
  </si>
  <si>
    <t>Owner</t>
  </si>
  <si>
    <t>Initial Estimate (hrs)</t>
  </si>
  <si>
    <t>Actual Week 1 Hours</t>
  </si>
  <si>
    <t>Status</t>
  </si>
  <si>
    <t>Acceptance / Evidence</t>
  </si>
  <si>
    <t>Notes</t>
  </si>
  <si>
    <t>Responsibilities</t>
  </si>
  <si>
    <t>T01</t>
  </si>
  <si>
    <t>US-001</t>
  </si>
  <si>
    <t>Review and merge CS491 project documents</t>
  </si>
  <si>
    <t>Entire Team</t>
  </si>
  <si>
    <t>Complete</t>
  </si>
  <si>
    <t>Group project document reviewed and current CS492 scope agreed.</t>
  </si>
  <si>
    <t>Tonya was responsible for reviewing and merging the documents.</t>
  </si>
  <si>
    <t>T02</t>
  </si>
  <si>
    <t>US-002</t>
  </si>
  <si>
    <t>Finalize Sprint 1 backlog, priorities, and acceptance criteria</t>
  </si>
  <si>
    <t>Sprint 1 stories are prioritized, estimated, assigned, and testable.</t>
  </si>
  <si>
    <t>Tonya was responsible for finalizing the document.</t>
  </si>
  <si>
    <t>T03</t>
  </si>
  <si>
    <t>US-003</t>
  </si>
  <si>
    <t>Set up or verify GitHub repository and branch workflow</t>
  </si>
  <si>
    <t>Tonya Coyne</t>
  </si>
  <si>
    <t>Repository access confirmed; branch and pull-request process documented.</t>
  </si>
  <si>
    <t>Do not commit passwords, API keys, database credentials, JWT secrets, or .env files.</t>
  </si>
  <si>
    <r>
      <t xml:space="preserve">Tonya was responsible for verifying repository access, confirming branch workflow, and documenting pull </t>
    </r>
    <r>
      <rPr>
        <sz val="12"/>
        <rFont val="Carlito"/>
      </rPr>
      <t>request procedures.</t>
    </r>
  </si>
  <si>
    <t>T04</t>
  </si>
  <si>
    <t>US-004</t>
  </si>
  <si>
    <t>Create login and registration UI</t>
  </si>
  <si>
    <t>Responsive forms display validation messages and meet agreed design.</t>
  </si>
  <si>
    <t>Tonya was responsible for designing and building the login and registration interface, including input validation, error messaging, and ensuring the forms matched the Sprint 1 design requirements.</t>
  </si>
  <si>
    <t>T05</t>
  </si>
  <si>
    <t>US-005</t>
  </si>
  <si>
    <t>Create flight-search UI and search criteria model</t>
  </si>
  <si>
    <t>Ricky Diaz</t>
  </si>
  <si>
    <t>User can enter origin, destination, departure date, and passenger count.</t>
  </si>
  <si>
    <t>Ricky was responsible for designing and implementing the flight‑search interface, including origin/destination fields, date selection, passenger count, and ensuring the UI correctly passed search criteria to backend logic.</t>
  </si>
  <si>
    <t>T06</t>
  </si>
  <si>
    <t>US-006</t>
  </si>
  <si>
    <t>Create flight-details UI</t>
  </si>
  <si>
    <t>Selected flight details display airline, times, route, price, and availability.</t>
  </si>
  <si>
    <t>Ricky was responsible for building the flight‑details interface, ensuring users could view airline information, departure and arrival times, route details, pricing, and seat availability for the selected flight.</t>
  </si>
  <si>
    <t>T07</t>
  </si>
  <si>
    <t>US-007</t>
  </si>
  <si>
    <t>Define backend/API and database structure for Sprint 1</t>
  </si>
  <si>
    <t>Endpoints and data models for users, flights, and search are documented or scaffolded.</t>
  </si>
  <si>
    <t>Ricky was responsible for defining the backend structure, including API endpoints for authentication and flight search, and outlining the database schema for users, flights, and reservations. He documented the initial models and ensured the backend design aligned with Sprint 1 UI requirements.</t>
  </si>
  <si>
    <t>T08</t>
  </si>
  <si>
    <t>US-008</t>
  </si>
  <si>
    <t>Implement initial authentication or flight-search service logic</t>
  </si>
  <si>
    <t>Initial service runs locally and returns a controlled success/error response.</t>
  </si>
  <si>
    <t>Ricky was responsible for implementing the initial backend service logic for authentication or flight search. This included creating basic request/response handling, returning controlled success/error messages, and ensuring the service could run locally for Sprint 1 integration.</t>
  </si>
  <si>
    <t>T09</t>
  </si>
  <si>
    <t>US-009</t>
  </si>
  <si>
    <t>Integrate initial UI and service components</t>
  </si>
  <si>
    <t>At least one Sprint 1 flow connects across components without console errors.</t>
  </si>
  <si>
    <t>The entire team was responsible for connecting the Sprint 1 UI components (login, registration, flight search, and flight details) with the initial backend service logic. This included verifying that at least one complete user flow worked end‑to‑end without console errors and coordinating fixes across UI and backend components.</t>
  </si>
  <si>
    <t>T10</t>
  </si>
  <si>
    <t>US-010</t>
  </si>
  <si>
    <t>Test completed Week 1 work and record defects</t>
  </si>
  <si>
    <t>Melissa Almanza</t>
  </si>
  <si>
    <t>Basic tests completed and defects recorded with owner and next step.</t>
  </si>
  <si>
    <t>Melissa was responsible for testing all Sprint 1 features completed during Week 1, including login, registration, flight search, and flight‑details pages. Each member recorded defects, assigned owners for fixes, and documented next steps to ensure issues were tracked for Week 2.</t>
  </si>
  <si>
    <t>T11</t>
  </si>
  <si>
    <t>US-011</t>
  </si>
  <si>
    <t>Update documents and enter Week 1 hours</t>
  </si>
  <si>
    <t>Project document, sprint plan, communication log, and hours are ready to submit.</t>
  </si>
  <si>
    <t>Tonya responsible for updating project documentation, refining the Sprint 1 plan, and entering all Week 1 hours into the Hours Log. This included verifying accuracy across the Project Document, Sprint Planning workbook, communication records, and ensuring all materials were ready for submission.</t>
  </si>
  <si>
    <t>Summary</t>
  </si>
  <si>
    <t>Planned Hours</t>
  </si>
  <si>
    <t>Actual Hours</t>
  </si>
  <si>
    <t>Completion</t>
  </si>
  <si>
    <t>Sprint 1 — Week 1</t>
  </si>
  <si>
    <t>Yellow cells are for actual Week 1 hours. Update task status and attach or link evidence before submission.</t>
  </si>
  <si>
    <t>CS492 Airline Reservation System — Sprint 1, Week 2</t>
  </si>
  <si>
    <t>Week 2</t>
  </si>
  <si>
    <t>Week 2 focus</t>
  </si>
  <si>
    <t>Complete, verify, and document the planned Sprint 1 application functionality, testing, retrospective, and submission materials.</t>
  </si>
  <si>
    <t xml:space="preserve">Establish core functionality through user registration/login, flight search, and flight‑detail viewing, ensuring at least one complete user flow works end‑to‑end. </t>
  </si>
  <si>
    <t>Actual Week 2 Hours</t>
  </si>
  <si>
    <t>Tonya Coyne and Melissa Almanza</t>
  </si>
  <si>
    <t>Group project document reviewed and current CS492 scope confirmed.</t>
  </si>
  <si>
    <t>Tonya and Melissa reviewed the prior project materials, reconciled the current scope, and prepared the supporting documentation for the Sprint 1 submission.</t>
  </si>
  <si>
    <t>Tonya and Melissa maintained the Sprint Planning document, clarified priorities and acceptance criteria, and organized the records required for submission.</t>
  </si>
  <si>
    <t>Tonya coordinated repository access and the collaboration workflow. Macameron's collaborator invitation remained unaccepted, and no repository contribution was reported from him.</t>
  </si>
  <si>
    <t>Add a commit, pull request, screenshot, or executable-build reference; then mark Complete if acceptance criteria are met.</t>
  </si>
  <si>
    <t>Ricky implemented the login and registration interface, including validation, error handling, and the agreed Sprint 1 design.</t>
  </si>
  <si>
    <t>Ricky implemented the flight-search interface and search criteria, including origin, destination, departure date, and passenger count.</t>
  </si>
  <si>
    <t>Ricky implemented the flight-details view for route, schedule, price, airline, and availability information.</t>
  </si>
  <si>
    <t>Add API/schema evidence or a repository reference; then mark Complete if acceptance criteria are met.</t>
  </si>
  <si>
    <t>Ricky designed and implemented the Sprint 1 backend/API and database structure for users, flights, search, and supporting application data.</t>
  </si>
  <si>
    <t>Add service/API test evidence or a repository reference; then mark Complete if acceptance criteria are met.</t>
  </si>
  <si>
    <t>Ricky implemented the initial authentication and flight-search service logic, including controlled request, success, and error handling.</t>
  </si>
  <si>
    <t>Add end-to-end flow evidence and confirm no blocking console or server errors.</t>
  </si>
  <si>
    <t>Ricky connected the user interface, services, backend, and database components and prepared the working Sprint 1 application flow.</t>
  </si>
  <si>
    <t>Test completed Week 2 work and record defects</t>
  </si>
  <si>
    <t>Add the test record, defects found, and verification results.</t>
  </si>
  <si>
    <t>Tonya and Melissa tested the planned Sprint 1 functionality, documented defects or observations, and verified fixes and submission readiness.</t>
  </si>
  <si>
    <t>Update documents and enter Week 2 hours</t>
  </si>
  <si>
    <t>In Progress</t>
  </si>
  <si>
    <t>Add the final Project Document, retrospective, completed hours, and ZIP/package evidence.</t>
  </si>
  <si>
    <t>Tonya and Melissa updated the Sprint Planning workbook, hours records, Project Document, retrospective material, and final submission documentation.</t>
  </si>
  <si>
    <t>Sprint 1 — Week 2</t>
  </si>
  <si>
    <t>Enter actual Week 2 hours in the Hours Log. Confirm each task status and add specific evidence before submission.</t>
  </si>
  <si>
    <t>Sprint 1 — Week 1 Individual Hours Log</t>
  </si>
  <si>
    <t>Date</t>
  </si>
  <si>
    <t>Team Member</t>
  </si>
  <si>
    <t>Work Performed</t>
  </si>
  <si>
    <t>Hours</t>
  </si>
  <si>
    <t>Evidence / Link</t>
  </si>
  <si>
    <t>Reviewed CS491 project documents</t>
  </si>
  <si>
    <t>Project Document updated</t>
  </si>
  <si>
    <t>Set up GitHub repository and verified access</t>
  </si>
  <si>
    <t>GitHub repo created</t>
  </si>
  <si>
    <t>Filled Sprint Planning template (Week 1 setup)</t>
  </si>
  <si>
    <t>Sprint Planning Workbook updated</t>
  </si>
  <si>
    <t>Updated Group Project Document and Week 1 log</t>
  </si>
  <si>
    <t>Group Project Document updated</t>
  </si>
  <si>
    <t>Organized Sprint 1 tasks and prepared backlog</t>
  </si>
  <si>
    <t>Backlog Updated</t>
  </si>
  <si>
    <t>Macameron Clark</t>
  </si>
  <si>
    <t>Week 1 Total Hours</t>
  </si>
  <si>
    <t>Group Total</t>
  </si>
  <si>
    <t>Enter only hours actually worked. Add rows if needed; preserve the same columns and formulas.</t>
  </si>
  <si>
    <t>Sprint 1 — Week 2 Individual Hours Log</t>
  </si>
  <si>
    <t>Reviewed prior project materials and updated the current Sprint 1 documentation</t>
  </si>
  <si>
    <t>Enter document section or file reference</t>
  </si>
  <si>
    <t>Enter actual date and hours</t>
  </si>
  <si>
    <t>Maintained the Sprint Planning document, priorities, acceptance criteria, and assignments</t>
  </si>
  <si>
    <t>Coordinated repository access and followed up on the outstanding collaborator invitation</t>
  </si>
  <si>
    <t>Enter invitation or communication evidence</t>
  </si>
  <si>
    <t>Tested the Sprint 1 application and documented defects or observations</t>
  </si>
  <si>
    <t>Enter test record or screenshot</t>
  </si>
  <si>
    <t>Updated submission documents and contributed to the Sprint 1 retrospective</t>
  </si>
  <si>
    <t>Reviewed the project documentation for accuracy, organization, and completeness</t>
  </si>
  <si>
    <t>Enter document section or review evidence</t>
  </si>
  <si>
    <t>Executed functional tests for login, registration, flight search, and flight details</t>
  </si>
  <si>
    <t>Enter test cases, results, or screenshots</t>
  </si>
  <si>
    <t>Retested corrections and verified defects or observations for submission</t>
  </si>
  <si>
    <t>Enter retest or defect evidence</t>
  </si>
  <si>
    <t>Reviewed the Sprint Planning document, retrospective, and final submission materials</t>
  </si>
  <si>
    <t>Enter document or review reference</t>
  </si>
  <si>
    <t>Implemented login and registration UI, validation, and error handling</t>
  </si>
  <si>
    <t>Enter commit, pull request, or screenshot</t>
  </si>
  <si>
    <t>Implemented the flight-search UI and search criteria model</t>
  </si>
  <si>
    <t>Implemented the flight-details UI and data display</t>
  </si>
  <si>
    <t>Implemented the backend/API and database structure</t>
  </si>
  <si>
    <t>Enter commit, schema, or API reference</t>
  </si>
  <si>
    <t>Implemented authentication and flight-search service logic</t>
  </si>
  <si>
    <t>Enter commit or API test reference</t>
  </si>
  <si>
    <t>Integrated the UI, services, backend, and database into the working Sprint 1 flow</t>
  </si>
  <si>
    <t>Enter end-to-end test or build reference</t>
  </si>
  <si>
    <t>Week 2 Total Hours</t>
  </si>
  <si>
    <t>Enter only actual dates and hours. Macameron Clark remains at 0 unless he completes verifiable Sprint 1 work before submission.</t>
  </si>
  <si>
    <t>Group Communication Record — Week 1</t>
  </si>
  <si>
    <t>Method</t>
  </si>
  <si>
    <t>Participants</t>
  </si>
  <si>
    <t>Purpose</t>
  </si>
  <si>
    <t>Decisions / Outcomes</t>
  </si>
  <si>
    <t>Follow-up Owner</t>
  </si>
  <si>
    <t>Evidence / Location</t>
  </si>
  <si>
    <t>CTU Discussion Board</t>
  </si>
  <si>
    <t>Tonya, Ricky, Macameron, Melissa</t>
  </si>
  <si>
    <t>Organize a plan</t>
  </si>
  <si>
    <t>Tonya will plan meetings and update documents</t>
  </si>
  <si>
    <t>Melissa will take T09 and T10- integrating the initial UI/service components and testing the completed Week 1 work/recording any defects.</t>
  </si>
  <si>
    <t>Ricky is flexible and can work on the frontend, backend, deployment, or any combination of those areas. </t>
  </si>
  <si>
    <t>Phone</t>
  </si>
  <si>
    <t xml:space="preserve">Tonya, Ricky </t>
  </si>
  <si>
    <t>Planning</t>
  </si>
  <si>
    <t>Ricky will start on some of the coding. Tonya will continue to update and document.</t>
  </si>
  <si>
    <t>Repository status</t>
  </si>
  <si>
    <t>Document participation status</t>
  </si>
  <si>
    <t>No contribution was reported, and the repository collaborator invitation remained unaccepted.</t>
  </si>
  <si>
    <t>Add invitation status or follow-up evidence if available</t>
  </si>
  <si>
    <t>Record at least one actual team interaction, including all participants and the decision or next action. Do not invent communication that did not occur.</t>
  </si>
  <si>
    <t>Week 1 Submission Checklist</t>
  </si>
  <si>
    <t>Rubric Requirement</t>
  </si>
  <si>
    <t>Points</t>
  </si>
  <si>
    <t>Final Check / Evidence</t>
  </si>
  <si>
    <t>Group communication established</t>
  </si>
  <si>
    <t>Enter an actual interaction in Team Communication.</t>
  </si>
  <si>
    <t>Group Project Document revised and combined</t>
  </si>
  <si>
    <t>Confirm current members, roles, scope, architecture, and CS492 implementation language.</t>
  </si>
  <si>
    <t>Sprint 1 Planning Document refined</t>
  </si>
  <si>
    <t>Review tasks, owners, estimates, priorities, and acceptance criteria.</t>
  </si>
  <si>
    <t>Sprint 1 — Week 1 hours recorded</t>
  </si>
  <si>
    <t>Enter each member's actual time in Hours Log.</t>
  </si>
  <si>
    <t>Information is logical and relevant</t>
  </si>
  <si>
    <t>Check naming, Sprint 1 labels, and consistency across files.</t>
  </si>
  <si>
    <t>Grammar, spelling, punctuation, and required style</t>
  </si>
  <si>
    <t>Proofread both documents before upload.</t>
  </si>
  <si>
    <t>Total Points Possible</t>
  </si>
  <si>
    <t>Week 2 Submission Checklist</t>
  </si>
  <si>
    <t>Sprint 1 – Week 2 Hours Tracking: Team members recorded hours for Sprint 1 – Week 2</t>
  </si>
  <si>
    <t>Sprint 1 Retrospective Summary Report: Report included what worked well, what did not, and how to improve</t>
  </si>
  <si>
    <t>Confirm the retrospective explains what worked well, what did not work well, and how the team will improve.</t>
  </si>
  <si>
    <t>The Application: Group submitted working software in responding to sprint 1 planning.</t>
  </si>
  <si>
    <t>Confirm the executable build runs and include all source code files.</t>
  </si>
  <si>
    <t>Roles and Responsibilities: Group included who was responsible for what in the Sprint Planning Document.</t>
  </si>
  <si>
    <t>Confirm owners and responsibilities match the detailed hours and evidence.</t>
  </si>
  <si>
    <t>Organization: Assignment presents information logically and is clearly relevant to discussion topic.</t>
  </si>
  <si>
    <t>Check naming, Sprint 1 Week 2 labels, file organization, and relevance.</t>
  </si>
  <si>
    <t>Professional Language: Assignment contains accurate grammar, spelling, and/or punctuation with few or no errors. (APA formatting is required or style specified in assignment).</t>
  </si>
  <si>
    <t>Proofread the Sprint Planning document and Project Document before packaging.</t>
  </si>
  <si>
    <t>Package the completed Sprint Planning document, Project Document, executable build, and source code as CS492_GP2.ZIP.</t>
  </si>
  <si>
    <t>CS492 Airline Reservation System — Sprint 2, Week 1</t>
  </si>
  <si>
    <t>Sprint 2</t>
  </si>
  <si>
    <t>week 1</t>
  </si>
  <si>
    <t>Updating documentation from last sprint</t>
  </si>
  <si>
    <t>Updating and logging hours</t>
  </si>
  <si>
    <t>Team Collaboration for 2nd Sprint</t>
  </si>
  <si>
    <t>Tonya reviewed last weeks work and updated the sprint logs.</t>
  </si>
  <si>
    <t>Enter actual Week 3 hours in the Hours Log. Confirm each task status and add specific evidence before submission.</t>
  </si>
  <si>
    <t>Not Started</t>
  </si>
  <si>
    <t>Sprint 2 — Week 1 Individual Hours Log</t>
  </si>
  <si>
    <t>Building API</t>
  </si>
  <si>
    <t>?</t>
  </si>
  <si>
    <t>Logged weekly hours</t>
  </si>
  <si>
    <t xml:space="preserve">Collaborate with the team </t>
  </si>
  <si>
    <t>Worked on updating and correcting the documentation</t>
  </si>
  <si>
    <t>Group Communication Record — Week 2</t>
  </si>
  <si>
    <t>CS492_GP3_Sprint2_Week1</t>
  </si>
  <si>
    <t>9/8/2026 - 9/14/2026</t>
  </si>
  <si>
    <t>9/8/2026 - 9/14/2027</t>
  </si>
  <si>
    <t>9/8/2026 - 9/14/2028</t>
  </si>
  <si>
    <t>9/8/2026 - 9/14/2029</t>
  </si>
  <si>
    <t>9/8/2026 - 9/14/2030</t>
  </si>
  <si>
    <t>9/8/2026 - 9/14/2031</t>
  </si>
  <si>
    <t>9/8/2026 - 9/14/2032</t>
  </si>
  <si>
    <t>9/8/2026 - 9/14/2033</t>
  </si>
  <si>
    <t>9/8/2026 - 9/14/2034</t>
  </si>
  <si>
    <t>9/8/2026 - 9/14/2035</t>
  </si>
  <si>
    <t>9/8/2026 - 9/14/2036</t>
  </si>
  <si>
    <t>9/8/2026 - 9/14/2037</t>
  </si>
  <si>
    <t>9/8/2026 - 9/14/2038</t>
  </si>
  <si>
    <t>9/8/2026 - 9/14/2039</t>
  </si>
  <si>
    <t>9/8/2026 - 9/14/2040</t>
  </si>
  <si>
    <t xml:space="preserve">Enter actual Week 2 dates and hours for Ricky, Tonya, and Melissa. </t>
  </si>
  <si>
    <t>Tonya Coyne and Macameron Clark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</si>
</sst>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yyyy\-mm\-dd"/>
    <numFmt numFmtId="166" formatCode="mm/dd/yy"/>
  </numFmts>
  <fonts count="8">
    <font>
      <sz val="11"/>
      <name val="Carlito"/>
    </font>
    <font>
      <b/>
      <sz val="16"/>
      <color rgb="FFFFFFFF"/>
      <name val="Carlito"/>
    </font>
    <font>
      <b/>
      <sz val="11"/>
      <name val="Carlito"/>
    </font>
    <font>
      <b/>
      <sz val="11"/>
      <color rgb="FFFFFFFF"/>
      <name val="Carlito"/>
    </font>
    <font>
      <i/>
      <sz val="11"/>
      <name val="Carlito"/>
    </font>
    <font>
      <sz val="12"/>
      <name val="Carlito"/>
    </font>
    <font>
      <sz val="11"/>
      <name val="Arial"/>
    </font>
    <font>
      <sz val="8"/>
      <name val="Carlito"/>
    </font>
  </fonts>
  <fills count="8">
    <fill>
      <patternFill patternType="none"/>
    </fill>
    <fill>
      <patternFill patternType="gray125"/>
    </fill>
    <fill>
      <patternFill patternType="solid">
        <fgColor rgb="FF17365D"/>
      </patternFill>
    </fill>
    <fill>
      <patternFill patternType="solid">
        <fgColor rgb="FFE7E6E6"/>
      </patternFill>
    </fill>
    <fill>
      <patternFill patternType="solid">
        <fgColor rgb="FFD9EAF7"/>
      </patternFill>
    </fill>
    <fill>
      <patternFill patternType="solid">
        <fgColor rgb="FFDDEBF7"/>
      </patternFill>
    </fill>
    <fill>
      <patternFill patternType="solid">
        <fgColor rgb="FFFFF2CC"/>
      </patternFill>
    </fill>
    <fill>
      <patternFill patternType="solid">
        <fgColor rgb="FFE2F0D9"/>
      </patternFill>
    </fill>
  </fills>
  <borders count="5">
    <border>
      <left/>
      <right/>
      <top/>
      <bottom/>
      <diagonal/>
    </border>
    <border>
      <left style="thin">
        <color rgb="FFA6A6A6"/>
      </left>
      <right style="thin">
        <color rgb="FFA6A6A6"/>
      </right>
      <top style="thin">
        <color rgb="FFA6A6A6"/>
      </top>
      <bottom style="thin">
        <color rgb="FFA6A6A6"/>
      </bottom>
      <diagonal/>
    </border>
    <border>
      <left style="thin">
        <color indexed="64"/>
      </left>
      <right style="thin">
        <color indexed="64"/>
      </right>
      <top style="thin">
        <color indexed="64"/>
      </top>
      <bottom style="thin">
        <color indexed="64"/>
      </bottom>
      <diagonal/>
    </border>
    <border>
      <left style="thin">
        <color rgb="FFA6A6A6"/>
      </left>
      <right/>
      <top style="thin">
        <color rgb="FFA6A6A6"/>
      </top>
      <bottom style="thin">
        <color rgb="FFA6A6A6"/>
      </bottom>
      <diagonal/>
    </border>
    <border>
      <left/>
      <right style="thin">
        <color indexed="64"/>
      </right>
      <top style="thin">
        <color indexed="64"/>
      </top>
      <bottom style="thin">
        <color indexed="64"/>
      </bottom>
      <diagonal/>
    </border>
  </borders>
  <cellStyleXfs count="1">
    <xf numFmtId="0" fontId="0" fillId="0" borderId="0"/>
  </cellStyleXfs>
  <cellXfs count="50">
    <xf numFmtId="0" fontId="0" fillId="0" borderId="0" xfId="0"/>
    <xf numFmtId="0" fontId="3" fillId="2" borderId="1" xfId="0" applyFont="1" applyFill="1" applyBorder="1" applyAlignment="1">
      <alignment horizontal="center" vertical="center" wrapText="1"/>
    </xf>
    <xf numFmtId="0" fontId="0" fillId="0" borderId="1" xfId="0" applyBorder="1"/>
    <xf numFmtId="0" fontId="0" fillId="0" borderId="1" xfId="0" applyBorder="1" applyAlignment="1">
      <alignment wrapText="1"/>
    </xf>
    <xf numFmtId="0" fontId="0" fillId="0" borderId="1" xfId="0" applyBorder="1" applyAlignment="1">
      <alignment vertical="top" wrapText="1"/>
    </xf>
    <xf numFmtId="0" fontId="0" fillId="5" borderId="1" xfId="0" applyFill="1" applyBorder="1" applyAlignment="1">
      <alignment vertical="top" wrapText="1"/>
    </xf>
    <xf numFmtId="2" fontId="0" fillId="0" borderId="1" xfId="0" applyNumberFormat="1" applyBorder="1"/>
    <xf numFmtId="0" fontId="0" fillId="0" borderId="0" xfId="0" applyAlignment="1">
      <alignment wrapText="1"/>
    </xf>
    <xf numFmtId="0" fontId="2" fillId="3" borderId="1" xfId="0" applyFont="1" applyFill="1" applyBorder="1" applyAlignment="1">
      <alignment wrapText="1"/>
    </xf>
    <xf numFmtId="164" fontId="0" fillId="0" borderId="1" xfId="0" applyNumberFormat="1" applyBorder="1" applyAlignment="1">
      <alignment wrapText="1"/>
    </xf>
    <xf numFmtId="9" fontId="0" fillId="0" borderId="1" xfId="0" applyNumberFormat="1" applyBorder="1" applyAlignment="1">
      <alignment wrapText="1"/>
    </xf>
    <xf numFmtId="0" fontId="3" fillId="2" borderId="3" xfId="0" applyFont="1" applyFill="1" applyBorder="1" applyAlignment="1">
      <alignment horizontal="center" vertical="center" wrapText="1"/>
    </xf>
    <xf numFmtId="0" fontId="0" fillId="0" borderId="3" xfId="0" applyBorder="1" applyAlignment="1">
      <alignment vertical="top" wrapText="1"/>
    </xf>
    <xf numFmtId="0" fontId="0" fillId="0" borderId="2" xfId="0" applyBorder="1" applyAlignment="1">
      <alignment wrapText="1"/>
    </xf>
    <xf numFmtId="0" fontId="0" fillId="0" borderId="4" xfId="0" applyBorder="1" applyAlignment="1">
      <alignment wrapText="1"/>
    </xf>
    <xf numFmtId="0" fontId="0" fillId="0" borderId="2" xfId="0" applyBorder="1" applyAlignment="1">
      <alignment vertical="top" wrapText="1"/>
    </xf>
    <xf numFmtId="0" fontId="0" fillId="0" borderId="0" xfId="0" applyAlignment="1">
      <alignment vertical="top"/>
    </xf>
    <xf numFmtId="0" fontId="2" fillId="3" borderId="1" xfId="0" applyFont="1" applyFill="1" applyBorder="1" applyAlignment="1">
      <alignment vertical="top" wrapText="1"/>
    </xf>
    <xf numFmtId="0" fontId="6" fillId="0" borderId="1" xfId="0" applyFont="1" applyBorder="1" applyAlignment="1">
      <alignment wrapText="1"/>
    </xf>
    <xf numFmtId="165" fontId="0" fillId="6" borderId="1" xfId="0" applyNumberFormat="1" applyFill="1" applyBorder="1"/>
    <xf numFmtId="2" fontId="0" fillId="6" borderId="1" xfId="0" applyNumberFormat="1" applyFill="1" applyBorder="1" applyAlignment="1">
      <alignment wrapText="1"/>
    </xf>
    <xf numFmtId="0" fontId="0" fillId="6" borderId="1" xfId="0" applyFill="1" applyBorder="1" applyAlignment="1">
      <alignment wrapText="1"/>
    </xf>
    <xf numFmtId="166" fontId="0" fillId="6" borderId="1" xfId="0" applyNumberFormat="1" applyFill="1" applyBorder="1" applyAlignment="1">
      <alignment vertical="top"/>
    </xf>
    <xf numFmtId="2" fontId="0" fillId="6" borderId="1" xfId="0" applyNumberFormat="1"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6" borderId="1" xfId="0" applyFill="1" applyBorder="1"/>
    <xf numFmtId="0" fontId="2" fillId="7" borderId="1" xfId="0" applyFont="1" applyFill="1" applyBorder="1"/>
    <xf numFmtId="2" fontId="2" fillId="7" borderId="1" xfId="0" applyNumberFormat="1" applyFont="1" applyFill="1" applyBorder="1"/>
    <xf numFmtId="0" fontId="0" fillId="6" borderId="1" xfId="0" applyFill="1" applyBorder="1" applyAlignment="1">
      <alignment vertical="top"/>
    </xf>
    <xf numFmtId="0" fontId="2" fillId="7" borderId="1" xfId="0" applyFont="1" applyFill="1" applyBorder="1" applyAlignment="1">
      <alignment wrapText="1"/>
    </xf>
    <xf numFmtId="0" fontId="0" fillId="0" borderId="0" xfId="0" applyAlignment="1">
      <alignment vertical="top" wrapText="1"/>
    </xf>
    <xf numFmtId="0" fontId="0" fillId="4" borderId="1" xfId="0" applyFill="1" applyBorder="1" applyAlignment="1">
      <alignment vertical="top" wrapText="1"/>
    </xf>
    <xf numFmtId="0" fontId="0" fillId="4" borderId="0" xfId="0" applyFill="1" applyAlignment="1">
      <alignment vertical="top" wrapText="1"/>
    </xf>
    <xf numFmtId="0" fontId="3" fillId="2" borderId="1" xfId="0" applyFont="1" applyFill="1" applyBorder="1" applyAlignment="1">
      <alignment vertical="top" wrapText="1"/>
    </xf>
    <xf numFmtId="0" fontId="3" fillId="2" borderId="3" xfId="0" applyFont="1" applyFill="1" applyBorder="1" applyAlignment="1">
      <alignment vertical="top" wrapText="1"/>
    </xf>
    <xf numFmtId="0" fontId="0" fillId="0" borderId="4" xfId="0" applyBorder="1" applyAlignment="1">
      <alignment vertical="top" wrapText="1"/>
    </xf>
    <xf numFmtId="164" fontId="0" fillId="0" borderId="1" xfId="0" applyNumberFormat="1" applyBorder="1" applyAlignment="1">
      <alignment vertical="top" wrapText="1"/>
    </xf>
    <xf numFmtId="9" fontId="0" fillId="0" borderId="1" xfId="0" applyNumberFormat="1" applyBorder="1" applyAlignment="1">
      <alignment vertical="top" wrapText="1"/>
    </xf>
    <xf numFmtId="0" fontId="4" fillId="6" borderId="0" xfId="0" applyFont="1" applyFill="1" applyAlignment="1">
      <alignment vertical="top" wrapText="1"/>
    </xf>
    <xf numFmtId="0" fontId="1" fillId="2" borderId="0" xfId="0" applyFont="1" applyFill="1" applyAlignment="1">
      <alignment horizontal="center" vertical="center"/>
    </xf>
    <xf numFmtId="0" fontId="2" fillId="6" borderId="0" xfId="0" applyFont="1" applyFill="1" applyAlignment="1">
      <alignment wrapText="1"/>
    </xf>
    <xf numFmtId="0" fontId="1" fillId="2" borderId="0" xfId="0" applyFont="1" applyFill="1" applyAlignment="1">
      <alignment horizontal="center" vertical="center" wrapText="1"/>
    </xf>
    <xf numFmtId="0" fontId="4" fillId="6" borderId="0" xfId="0" applyFont="1" applyFill="1" applyAlignment="1">
      <alignment wrapText="1"/>
    </xf>
    <xf numFmtId="0" fontId="0" fillId="4" borderId="1" xfId="0" applyFill="1" applyBorder="1" applyAlignment="1">
      <alignment wrapText="1"/>
    </xf>
    <xf numFmtId="0" fontId="0" fillId="0" borderId="0" xfId="0" applyAlignment="1">
      <alignment wrapText="1"/>
    </xf>
    <xf numFmtId="0" fontId="0" fillId="4" borderId="0" xfId="0" applyFill="1" applyAlignment="1">
      <alignment wrapText="1"/>
    </xf>
    <xf numFmtId="0" fontId="0" fillId="4" borderId="1" xfId="0" applyFill="1" applyBorder="1" applyAlignment="1">
      <alignment vertical="top"/>
    </xf>
    <xf numFmtId="0" fontId="0" fillId="0" borderId="0" xfId="0" applyAlignment="1">
      <alignment vertical="top"/>
    </xf>
    <xf numFmtId="0" fontId="4" fillId="6"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43"/>
  <sheetViews>
    <sheetView showGridLines="0" topLeftCell="A15" workbookViewId="0">
      <selection activeCell="D11" sqref="D11"/>
    </sheetView>
  </sheetViews>
  <sheetFormatPr defaultColWidth="9" defaultRowHeight="13.8"/>
  <cols>
    <col min="1" max="1" width="17" style="31" customWidth="1"/>
    <col min="2" max="2" width="13" style="31" customWidth="1"/>
    <col min="3" max="3" width="34" style="31" customWidth="1"/>
    <col min="4" max="4" width="20" style="31" customWidth="1"/>
    <col min="5" max="5" width="15" style="31" customWidth="1"/>
    <col min="6" max="6" width="16" style="31" customWidth="1"/>
    <col min="7" max="7" width="14" style="31" customWidth="1"/>
    <col min="8" max="8" width="42" style="31" customWidth="1"/>
    <col min="9" max="9" width="38" style="31" customWidth="1"/>
    <col min="10" max="10" width="54.19921875" style="15" customWidth="1"/>
    <col min="11" max="18" width="9" style="15"/>
    <col min="19" max="16384" width="9" style="31"/>
  </cols>
  <sheetData>
    <row r="1" spans="1:18" s="7" customFormat="1" ht="30" customHeight="1">
      <c r="A1" s="42" t="s">
        <v>0</v>
      </c>
      <c r="B1" s="42"/>
      <c r="C1" s="42"/>
      <c r="D1" s="42"/>
      <c r="E1" s="42"/>
      <c r="F1" s="42"/>
      <c r="G1" s="42"/>
      <c r="H1" s="42"/>
      <c r="I1" s="42"/>
      <c r="J1" s="42"/>
      <c r="K1" s="42"/>
      <c r="L1" s="42"/>
      <c r="M1" s="42"/>
      <c r="N1" s="42"/>
      <c r="O1" s="42"/>
      <c r="P1" s="42"/>
      <c r="Q1" s="42"/>
      <c r="R1" s="42"/>
    </row>
    <row r="2" spans="1:18">
      <c r="J2" s="31"/>
      <c r="K2" s="31"/>
      <c r="L2" s="31"/>
      <c r="M2" s="31"/>
      <c r="N2" s="31"/>
      <c r="O2" s="31"/>
      <c r="P2" s="31"/>
      <c r="Q2" s="31"/>
      <c r="R2" s="31"/>
    </row>
    <row r="3" spans="1:18">
      <c r="A3" s="17" t="s">
        <v>1</v>
      </c>
      <c r="B3" s="32" t="s">
        <v>2</v>
      </c>
      <c r="J3" s="33"/>
      <c r="K3" s="31"/>
      <c r="L3" s="31"/>
      <c r="M3" s="31"/>
      <c r="N3" s="31"/>
      <c r="O3" s="31"/>
      <c r="P3" s="31"/>
      <c r="Q3" s="31"/>
      <c r="R3" s="31"/>
    </row>
    <row r="4" spans="1:18">
      <c r="A4" s="17" t="s">
        <v>3</v>
      </c>
      <c r="B4" s="32" t="s">
        <v>4</v>
      </c>
      <c r="J4" s="33"/>
      <c r="K4" s="31"/>
      <c r="L4" s="31"/>
      <c r="M4" s="31"/>
      <c r="N4" s="31"/>
      <c r="O4" s="31"/>
      <c r="P4" s="31"/>
      <c r="Q4" s="31"/>
      <c r="R4" s="31"/>
    </row>
    <row r="5" spans="1:18">
      <c r="A5" s="17" t="s">
        <v>5</v>
      </c>
      <c r="B5" s="32" t="s">
        <v>6</v>
      </c>
      <c r="J5" s="33"/>
      <c r="K5" s="31"/>
      <c r="L5" s="31"/>
      <c r="M5" s="31"/>
      <c r="N5" s="31"/>
      <c r="O5" s="31"/>
      <c r="P5" s="31"/>
      <c r="Q5" s="31"/>
      <c r="R5" s="31"/>
    </row>
    <row r="6" spans="1:18" ht="16.2" customHeight="1">
      <c r="A6" s="17" t="s">
        <v>7</v>
      </c>
      <c r="B6" s="32" t="s">
        <v>8</v>
      </c>
      <c r="J6" s="33"/>
      <c r="K6" s="31"/>
      <c r="L6" s="31"/>
      <c r="M6" s="31"/>
      <c r="N6" s="31"/>
      <c r="O6" s="31"/>
      <c r="P6" s="31"/>
      <c r="Q6" s="31"/>
      <c r="R6" s="31"/>
    </row>
    <row r="7" spans="1:18" ht="16.2" customHeight="1">
      <c r="A7" s="17" t="s">
        <v>9</v>
      </c>
      <c r="B7" s="32" t="s">
        <v>10</v>
      </c>
      <c r="J7" s="33"/>
      <c r="K7" s="31"/>
      <c r="L7" s="31"/>
      <c r="M7" s="31"/>
      <c r="N7" s="31"/>
      <c r="O7" s="31"/>
      <c r="P7" s="31"/>
      <c r="Q7" s="31"/>
      <c r="R7" s="31"/>
    </row>
    <row r="8" spans="1:18">
      <c r="J8" s="31"/>
      <c r="K8" s="31"/>
      <c r="L8" s="31"/>
      <c r="M8" s="31"/>
      <c r="N8" s="31"/>
      <c r="O8" s="31"/>
      <c r="P8" s="31"/>
      <c r="Q8" s="31"/>
      <c r="R8" s="31"/>
    </row>
    <row r="9" spans="1:18" ht="27.6">
      <c r="A9" s="34" t="s">
        <v>11</v>
      </c>
      <c r="B9" s="34" t="s">
        <v>12</v>
      </c>
      <c r="C9" s="34" t="s">
        <v>13</v>
      </c>
      <c r="D9" s="34" t="s">
        <v>14</v>
      </c>
      <c r="E9" s="34" t="s">
        <v>15</v>
      </c>
      <c r="F9" s="34" t="s">
        <v>16</v>
      </c>
      <c r="G9" s="34" t="s">
        <v>17</v>
      </c>
      <c r="H9" s="34" t="s">
        <v>18</v>
      </c>
      <c r="I9" s="35" t="s">
        <v>19</v>
      </c>
      <c r="J9" s="35" t="s">
        <v>20</v>
      </c>
    </row>
    <row r="10" spans="1:18" ht="27.6">
      <c r="A10" s="4" t="s">
        <v>21</v>
      </c>
      <c r="B10" s="4" t="s">
        <v>22</v>
      </c>
      <c r="C10" s="4" t="s">
        <v>23</v>
      </c>
      <c r="D10" s="4" t="s">
        <v>36</v>
      </c>
      <c r="E10" s="4">
        <v>1</v>
      </c>
      <c r="F10" s="24">
        <v>1</v>
      </c>
      <c r="G10" s="5" t="s">
        <v>25</v>
      </c>
      <c r="H10" s="4" t="s">
        <v>26</v>
      </c>
      <c r="I10" s="12"/>
      <c r="J10" s="15" t="s">
        <v>27</v>
      </c>
    </row>
    <row r="11" spans="1:18" ht="27.6">
      <c r="A11" s="4" t="s">
        <v>28</v>
      </c>
      <c r="B11" s="4" t="s">
        <v>29</v>
      </c>
      <c r="C11" s="4" t="s">
        <v>30</v>
      </c>
      <c r="D11" s="4" t="s">
        <v>36</v>
      </c>
      <c r="E11" s="4">
        <v>1.5</v>
      </c>
      <c r="F11" s="24">
        <v>1.5</v>
      </c>
      <c r="G11" s="5" t="s">
        <v>25</v>
      </c>
      <c r="H11" s="4" t="s">
        <v>31</v>
      </c>
      <c r="I11" s="12"/>
      <c r="J11" s="15" t="s">
        <v>32</v>
      </c>
    </row>
    <row r="12" spans="1:18" ht="41.4">
      <c r="A12" s="4" t="s">
        <v>33</v>
      </c>
      <c r="B12" s="4" t="s">
        <v>34</v>
      </c>
      <c r="C12" s="4" t="s">
        <v>35</v>
      </c>
      <c r="D12" s="4" t="s">
        <v>36</v>
      </c>
      <c r="E12" s="4">
        <v>1</v>
      </c>
      <c r="F12" s="24">
        <v>1</v>
      </c>
      <c r="G12" s="5" t="s">
        <v>25</v>
      </c>
      <c r="H12" s="4" t="s">
        <v>37</v>
      </c>
      <c r="I12" s="12" t="s">
        <v>38</v>
      </c>
      <c r="J12" s="15" t="s">
        <v>39</v>
      </c>
    </row>
    <row r="13" spans="1:18" ht="54.6" customHeight="1">
      <c r="A13" s="4" t="s">
        <v>40</v>
      </c>
      <c r="B13" s="4" t="s">
        <v>41</v>
      </c>
      <c r="C13" s="4" t="s">
        <v>42</v>
      </c>
      <c r="D13" s="4" t="s">
        <v>36</v>
      </c>
      <c r="E13" s="4">
        <v>3</v>
      </c>
      <c r="F13" s="24">
        <v>1</v>
      </c>
      <c r="G13" s="5" t="s">
        <v>25</v>
      </c>
      <c r="H13" s="4" t="s">
        <v>43</v>
      </c>
      <c r="I13" s="12"/>
      <c r="J13" s="15" t="s">
        <v>44</v>
      </c>
    </row>
    <row r="14" spans="1:18" ht="55.2">
      <c r="A14" s="4" t="s">
        <v>45</v>
      </c>
      <c r="B14" s="4" t="s">
        <v>46</v>
      </c>
      <c r="C14" s="4" t="s">
        <v>47</v>
      </c>
      <c r="D14" s="4" t="s">
        <v>48</v>
      </c>
      <c r="E14" s="4">
        <v>3</v>
      </c>
      <c r="F14" s="24">
        <v>3</v>
      </c>
      <c r="G14" s="5" t="s">
        <v>25</v>
      </c>
      <c r="H14" s="4" t="s">
        <v>49</v>
      </c>
      <c r="I14" s="12"/>
      <c r="J14" s="15" t="s">
        <v>50</v>
      </c>
    </row>
    <row r="15" spans="1:18" ht="55.2">
      <c r="A15" s="4" t="s">
        <v>51</v>
      </c>
      <c r="B15" s="4" t="s">
        <v>52</v>
      </c>
      <c r="C15" s="4" t="s">
        <v>53</v>
      </c>
      <c r="D15" s="4" t="s">
        <v>48</v>
      </c>
      <c r="E15" s="4">
        <v>2</v>
      </c>
      <c r="F15" s="24">
        <v>2</v>
      </c>
      <c r="G15" s="5" t="s">
        <v>25</v>
      </c>
      <c r="H15" s="4" t="s">
        <v>54</v>
      </c>
      <c r="I15" s="12"/>
      <c r="J15" s="15" t="s">
        <v>55</v>
      </c>
    </row>
    <row r="16" spans="1:18" ht="69">
      <c r="A16" s="4" t="s">
        <v>56</v>
      </c>
      <c r="B16" s="4" t="s">
        <v>57</v>
      </c>
      <c r="C16" s="4" t="s">
        <v>58</v>
      </c>
      <c r="D16" s="4" t="s">
        <v>48</v>
      </c>
      <c r="E16" s="4">
        <v>3</v>
      </c>
      <c r="F16" s="24">
        <v>3</v>
      </c>
      <c r="G16" s="5" t="s">
        <v>25</v>
      </c>
      <c r="H16" s="4" t="s">
        <v>59</v>
      </c>
      <c r="I16" s="12"/>
      <c r="J16" s="15" t="s">
        <v>60</v>
      </c>
    </row>
    <row r="17" spans="1:18" ht="69">
      <c r="A17" s="4" t="s">
        <v>61</v>
      </c>
      <c r="B17" s="4" t="s">
        <v>62</v>
      </c>
      <c r="C17" s="4" t="s">
        <v>63</v>
      </c>
      <c r="D17" s="4" t="s">
        <v>48</v>
      </c>
      <c r="E17" s="4">
        <v>3</v>
      </c>
      <c r="F17" s="24">
        <v>3</v>
      </c>
      <c r="G17" s="5" t="s">
        <v>25</v>
      </c>
      <c r="H17" s="4" t="s">
        <v>64</v>
      </c>
      <c r="I17" s="12"/>
      <c r="J17" s="15" t="s">
        <v>65</v>
      </c>
    </row>
    <row r="18" spans="1:18" ht="82.8">
      <c r="A18" s="4" t="s">
        <v>66</v>
      </c>
      <c r="B18" s="4" t="s">
        <v>67</v>
      </c>
      <c r="C18" s="4" t="s">
        <v>68</v>
      </c>
      <c r="D18" s="4" t="s">
        <v>24</v>
      </c>
      <c r="E18" s="4">
        <v>2</v>
      </c>
      <c r="F18" s="24">
        <v>2</v>
      </c>
      <c r="G18" s="5" t="s">
        <v>25</v>
      </c>
      <c r="H18" s="4" t="s">
        <v>69</v>
      </c>
      <c r="I18" s="12"/>
      <c r="J18" s="15" t="s">
        <v>70</v>
      </c>
      <c r="K18" s="36"/>
    </row>
    <row r="19" spans="1:18" ht="69">
      <c r="A19" s="4" t="s">
        <v>71</v>
      </c>
      <c r="B19" s="4" t="s">
        <v>72</v>
      </c>
      <c r="C19" s="4" t="s">
        <v>73</v>
      </c>
      <c r="D19" s="4" t="s">
        <v>74</v>
      </c>
      <c r="E19" s="4">
        <v>1.5</v>
      </c>
      <c r="F19" s="24">
        <v>2</v>
      </c>
      <c r="G19" s="5" t="s">
        <v>25</v>
      </c>
      <c r="H19" s="4" t="s">
        <v>75</v>
      </c>
      <c r="I19" s="12"/>
      <c r="J19" s="15" t="s">
        <v>76</v>
      </c>
    </row>
    <row r="20" spans="1:18" ht="69">
      <c r="A20" s="4" t="s">
        <v>77</v>
      </c>
      <c r="B20" s="4" t="s">
        <v>78</v>
      </c>
      <c r="C20" s="4" t="s">
        <v>79</v>
      </c>
      <c r="D20" s="4" t="s">
        <v>36</v>
      </c>
      <c r="E20" s="4">
        <v>1</v>
      </c>
      <c r="F20" s="24">
        <v>1</v>
      </c>
      <c r="G20" s="5" t="s">
        <v>25</v>
      </c>
      <c r="H20" s="4" t="s">
        <v>80</v>
      </c>
      <c r="I20" s="12"/>
      <c r="J20" s="15" t="s">
        <v>81</v>
      </c>
    </row>
    <row r="21" spans="1:18">
      <c r="J21" s="31"/>
      <c r="K21" s="31"/>
      <c r="L21" s="31"/>
      <c r="M21" s="31"/>
      <c r="N21" s="31"/>
      <c r="O21" s="31"/>
      <c r="P21" s="31"/>
      <c r="Q21" s="31"/>
      <c r="R21" s="31"/>
    </row>
    <row r="22" spans="1:18" ht="27.6">
      <c r="A22" s="34" t="s">
        <v>82</v>
      </c>
      <c r="B22" s="34" t="s">
        <v>83</v>
      </c>
      <c r="C22" s="34" t="s">
        <v>84</v>
      </c>
      <c r="D22" s="34" t="s">
        <v>85</v>
      </c>
      <c r="J22" s="31"/>
      <c r="K22" s="31"/>
      <c r="L22" s="31"/>
      <c r="M22" s="31"/>
      <c r="N22" s="31"/>
      <c r="O22" s="31"/>
      <c r="P22" s="31"/>
      <c r="Q22" s="31"/>
      <c r="R22" s="31"/>
    </row>
    <row r="23" spans="1:18">
      <c r="A23" s="4" t="s">
        <v>86</v>
      </c>
      <c r="B23" s="37">
        <f>SUM(E10:E20)</f>
        <v>22</v>
      </c>
      <c r="C23" s="37">
        <f>SUM(F10:F20)</f>
        <v>20.5</v>
      </c>
      <c r="D23" s="38">
        <f>COUNTIF(G10:G20,"Complete")/COUNTA(A10:A20)</f>
        <v>1</v>
      </c>
      <c r="J23" s="31"/>
      <c r="K23" s="31"/>
      <c r="L23" s="31"/>
      <c r="M23" s="31"/>
      <c r="N23" s="31"/>
      <c r="O23" s="31"/>
      <c r="P23" s="31"/>
      <c r="Q23" s="31"/>
      <c r="R23" s="31"/>
    </row>
    <row r="24" spans="1:18">
      <c r="J24" s="31"/>
      <c r="K24" s="31"/>
      <c r="L24" s="31"/>
      <c r="M24" s="31"/>
      <c r="N24" s="31"/>
      <c r="O24" s="31"/>
      <c r="P24" s="31"/>
      <c r="Q24" s="31"/>
      <c r="R24" s="31"/>
    </row>
    <row r="25" spans="1:18" ht="14.25" customHeight="1">
      <c r="A25" s="39" t="s">
        <v>87</v>
      </c>
      <c r="B25" s="39"/>
      <c r="C25" s="39"/>
      <c r="D25" s="39"/>
      <c r="E25" s="39"/>
      <c r="F25" s="39"/>
      <c r="G25" s="39"/>
      <c r="H25" s="39"/>
      <c r="I25" s="39"/>
      <c r="J25" s="39"/>
      <c r="K25" s="39"/>
      <c r="L25" s="39"/>
      <c r="M25" s="39"/>
      <c r="N25" s="39"/>
      <c r="O25" s="39"/>
      <c r="P25" s="39"/>
      <c r="Q25" s="39"/>
      <c r="R25" s="39"/>
    </row>
    <row r="26" spans="1:18">
      <c r="J26" s="31"/>
      <c r="K26" s="31"/>
      <c r="L26" s="31"/>
      <c r="M26" s="31"/>
      <c r="N26" s="31"/>
      <c r="O26" s="31"/>
      <c r="P26" s="31"/>
      <c r="Q26" s="31"/>
      <c r="R26" s="31"/>
    </row>
    <row r="27" spans="1:18">
      <c r="J27" s="31"/>
      <c r="K27" s="31"/>
      <c r="L27" s="31"/>
      <c r="M27" s="31"/>
      <c r="N27" s="31"/>
      <c r="O27" s="31"/>
      <c r="P27" s="31"/>
      <c r="Q27" s="31"/>
      <c r="R27" s="31"/>
    </row>
    <row r="28" spans="1:18">
      <c r="J28" s="31"/>
      <c r="K28" s="31"/>
      <c r="L28" s="31"/>
      <c r="M28" s="31"/>
      <c r="N28" s="31"/>
      <c r="O28" s="31"/>
      <c r="P28" s="31"/>
      <c r="Q28" s="31"/>
      <c r="R28" s="31"/>
    </row>
    <row r="29" spans="1:18">
      <c r="J29" s="31"/>
      <c r="K29" s="31"/>
      <c r="L29" s="31"/>
      <c r="M29" s="31"/>
      <c r="N29" s="31"/>
      <c r="O29" s="31"/>
      <c r="P29" s="31"/>
      <c r="Q29" s="31"/>
      <c r="R29" s="31"/>
    </row>
    <row r="30" spans="1:18">
      <c r="J30" s="31"/>
      <c r="K30" s="31"/>
      <c r="L30" s="31"/>
      <c r="M30" s="31"/>
      <c r="N30" s="31"/>
      <c r="O30" s="31"/>
      <c r="P30" s="31"/>
      <c r="Q30" s="31"/>
      <c r="R30" s="31"/>
    </row>
    <row r="31" spans="1:18">
      <c r="J31" s="31"/>
      <c r="K31" s="31"/>
      <c r="L31" s="31"/>
      <c r="M31" s="31"/>
      <c r="N31" s="31"/>
      <c r="O31" s="31"/>
      <c r="P31" s="31"/>
      <c r="Q31" s="31"/>
      <c r="R31" s="31"/>
    </row>
    <row r="32" spans="1:18">
      <c r="J32" s="31"/>
      <c r="K32" s="31"/>
      <c r="L32" s="31"/>
      <c r="M32" s="31"/>
      <c r="N32" s="31"/>
      <c r="O32" s="31"/>
      <c r="P32" s="31"/>
      <c r="Q32" s="31"/>
      <c r="R32" s="31"/>
    </row>
    <row r="33" s="31" customFormat="1"/>
    <row r="34" s="31" customFormat="1"/>
    <row r="35" s="31" customFormat="1"/>
    <row r="36" s="31" customFormat="1"/>
    <row r="37" s="31" customFormat="1"/>
    <row r="38" s="31" customFormat="1"/>
    <row r="39" s="31" customFormat="1"/>
    <row r="40" s="31" customFormat="1"/>
    <row r="41" s="31" customFormat="1"/>
    <row r="42" s="31" customFormat="1"/>
    <row r="43" s="31" customFormat="1"/>
    <row r="44" s="31" customFormat="1"/>
    <row r="45" s="31" customFormat="1"/>
    <row r="46" s="31" customFormat="1"/>
    <row r="47" s="31" customFormat="1"/>
    <row r="48" s="31" customFormat="1"/>
    <row r="49" s="31" customFormat="1"/>
    <row r="50" s="31" customFormat="1"/>
    <row r="51" s="31" customFormat="1"/>
    <row r="52" s="31" customFormat="1"/>
    <row r="53" s="31" customFormat="1"/>
    <row r="54" s="31" customFormat="1"/>
    <row r="55" s="31" customFormat="1"/>
    <row r="56" s="31" customFormat="1"/>
    <row r="57" s="31" customFormat="1"/>
    <row r="58" s="31" customFormat="1"/>
    <row r="59" s="31" customFormat="1"/>
    <row r="60" s="31" customFormat="1"/>
    <row r="61" s="31" customFormat="1"/>
    <row r="62" s="31" customFormat="1"/>
    <row r="63" s="31" customFormat="1"/>
    <row r="64" s="31" customFormat="1"/>
    <row r="65" s="31" customFormat="1"/>
    <row r="66" s="31" customFormat="1"/>
    <row r="67" s="31" customFormat="1"/>
    <row r="68" s="31" customFormat="1"/>
    <row r="69" s="31" customFormat="1"/>
    <row r="70" s="31" customFormat="1"/>
    <row r="71" s="31" customFormat="1"/>
    <row r="72" s="31" customFormat="1"/>
    <row r="73" s="31" customFormat="1"/>
    <row r="74" s="31" customFormat="1"/>
    <row r="75" s="31" customFormat="1"/>
    <row r="76" s="31" customFormat="1"/>
    <row r="77" s="31" customFormat="1"/>
    <row r="78" s="31" customFormat="1"/>
    <row r="79" s="31" customFormat="1"/>
    <row r="80" s="31" customFormat="1"/>
    <row r="81" s="31" customFormat="1"/>
    <row r="82" s="31" customFormat="1"/>
    <row r="83" s="31" customFormat="1"/>
    <row r="84" s="31" customFormat="1"/>
    <row r="85" s="31" customFormat="1"/>
    <row r="86" s="31" customFormat="1"/>
    <row r="87" s="31" customFormat="1"/>
    <row r="88" s="31" customFormat="1"/>
    <row r="89" s="31" customFormat="1"/>
    <row r="90" s="31" customFormat="1"/>
    <row r="91" s="31" customFormat="1"/>
    <row r="92" s="31" customFormat="1"/>
    <row r="93" s="31" customFormat="1"/>
    <row r="94" s="31" customFormat="1"/>
    <row r="95" s="31" customFormat="1"/>
    <row r="96" s="31" customFormat="1"/>
    <row r="97" s="31" customFormat="1"/>
    <row r="98" s="31" customFormat="1"/>
    <row r="99" s="31" customFormat="1"/>
    <row r="100" s="31" customFormat="1"/>
    <row r="101" s="31" customFormat="1"/>
    <row r="102" s="31" customFormat="1"/>
    <row r="103" s="31" customFormat="1"/>
    <row r="104" s="31" customFormat="1"/>
    <row r="105" s="31" customFormat="1"/>
    <row r="106" s="31" customFormat="1"/>
    <row r="107" s="31" customFormat="1"/>
    <row r="108" s="31" customFormat="1"/>
    <row r="109" s="31" customFormat="1"/>
    <row r="110" s="31" customFormat="1"/>
    <row r="111" s="31" customFormat="1"/>
    <row r="112" s="31" customFormat="1"/>
    <row r="113" s="31" customFormat="1"/>
    <row r="114" s="31" customFormat="1"/>
    <row r="115" s="31" customFormat="1"/>
    <row r="116" s="31" customFormat="1"/>
    <row r="117" s="31" customFormat="1"/>
    <row r="118" s="31" customFormat="1"/>
    <row r="119" s="31" customFormat="1"/>
    <row r="120" s="31" customFormat="1"/>
    <row r="121" s="31" customFormat="1"/>
    <row r="122" s="31" customFormat="1"/>
    <row r="123" s="31" customFormat="1"/>
    <row r="124" s="31" customFormat="1"/>
    <row r="125" s="31" customFormat="1"/>
    <row r="126" s="31" customFormat="1"/>
    <row r="127" s="31" customFormat="1"/>
    <row r="128" s="31" customFormat="1"/>
    <row r="129" s="31" customFormat="1"/>
    <row r="130" s="31" customFormat="1"/>
    <row r="131" s="31" customFormat="1"/>
    <row r="132" s="31" customFormat="1"/>
    <row r="133" s="31" customFormat="1"/>
    <row r="134" s="31" customFormat="1"/>
    <row r="135" s="31" customFormat="1"/>
    <row r="136" s="31" customFormat="1"/>
    <row r="137" s="31" customFormat="1"/>
    <row r="138" s="31" customFormat="1"/>
    <row r="139" s="31" customFormat="1"/>
    <row r="140" s="31" customFormat="1"/>
    <row r="141" s="31" customFormat="1"/>
    <row r="142" s="31" customFormat="1"/>
    <row r="143" s="31" customFormat="1"/>
    <row r="144" s="31" customFormat="1"/>
    <row r="145" s="31" customFormat="1"/>
    <row r="146" s="31" customFormat="1"/>
    <row r="147" s="31" customFormat="1"/>
    <row r="148" s="31" customFormat="1"/>
    <row r="149" s="31" customFormat="1"/>
    <row r="150" s="31" customFormat="1"/>
    <row r="151" s="31" customFormat="1"/>
    <row r="152" s="31" customFormat="1"/>
    <row r="153" s="31" customFormat="1"/>
    <row r="154" s="31" customFormat="1"/>
    <row r="155" s="31" customFormat="1"/>
    <row r="156" s="31" customFormat="1"/>
    <row r="157" s="31" customFormat="1"/>
    <row r="158" s="31" customFormat="1"/>
    <row r="159" s="31" customFormat="1"/>
    <row r="160" s="31" customFormat="1"/>
    <row r="161" s="31" customFormat="1"/>
    <row r="162" s="31" customFormat="1"/>
    <row r="163" s="31" customFormat="1"/>
    <row r="164" s="31" customFormat="1"/>
    <row r="165" s="31" customFormat="1"/>
    <row r="166" s="31" customFormat="1"/>
    <row r="167" s="31" customFormat="1"/>
    <row r="168" s="31" customFormat="1"/>
    <row r="169" s="31" customFormat="1"/>
    <row r="170" s="31" customFormat="1"/>
    <row r="171" s="31" customFormat="1"/>
    <row r="172" s="31" customFormat="1"/>
    <row r="173" s="31" customFormat="1"/>
    <row r="174" s="31" customFormat="1"/>
    <row r="175" s="31" customFormat="1"/>
    <row r="176" s="31" customFormat="1"/>
    <row r="177" s="31" customFormat="1"/>
    <row r="178" s="31" customFormat="1"/>
    <row r="179" s="31" customFormat="1"/>
    <row r="180" s="31" customFormat="1"/>
    <row r="181" s="31" customFormat="1"/>
    <row r="182" s="31" customFormat="1"/>
    <row r="183" s="31" customFormat="1"/>
    <row r="184" s="31" customFormat="1"/>
    <row r="185" s="31" customFormat="1"/>
    <row r="186" s="31" customFormat="1"/>
    <row r="187" s="31" customFormat="1"/>
    <row r="188" s="31" customFormat="1"/>
    <row r="189" s="31" customFormat="1"/>
    <row r="190" s="31" customFormat="1"/>
    <row r="191" s="31" customFormat="1"/>
    <row r="192" s="31" customFormat="1"/>
    <row r="193" s="31" customFormat="1"/>
    <row r="194" s="31" customFormat="1"/>
    <row r="195" s="31" customFormat="1"/>
    <row r="196" s="31" customFormat="1"/>
    <row r="197" s="31" customFormat="1"/>
    <row r="198" s="31" customFormat="1"/>
    <row r="199" s="31" customFormat="1"/>
    <row r="200" s="31" customFormat="1"/>
    <row r="201" s="31" customFormat="1"/>
    <row r="202" s="31" customFormat="1"/>
    <row r="203" s="31" customFormat="1"/>
    <row r="204" s="31" customFormat="1"/>
    <row r="205" s="31" customFormat="1"/>
    <row r="206" s="31" customFormat="1"/>
    <row r="207" s="31" customFormat="1"/>
    <row r="208" s="31" customFormat="1"/>
    <row r="209" s="31" customFormat="1"/>
    <row r="210" s="31" customFormat="1"/>
    <row r="211" s="31" customFormat="1"/>
    <row r="212" s="31" customFormat="1"/>
    <row r="213" s="31" customFormat="1"/>
    <row r="214" s="31" customFormat="1"/>
    <row r="215" s="31" customFormat="1"/>
    <row r="216" s="31" customFormat="1"/>
    <row r="217" s="31" customFormat="1"/>
    <row r="218" s="31" customFormat="1"/>
    <row r="219" s="31" customFormat="1"/>
    <row r="220" s="31" customFormat="1"/>
    <row r="221" s="31" customFormat="1"/>
    <row r="222" s="31" customFormat="1"/>
    <row r="223" s="31" customFormat="1"/>
    <row r="224" s="31" customFormat="1"/>
    <row r="225" s="31" customFormat="1"/>
    <row r="226" s="31" customFormat="1"/>
    <row r="227" s="31" customFormat="1"/>
    <row r="228" s="31" customFormat="1"/>
    <row r="229" s="31" customFormat="1"/>
    <row r="230" s="31" customFormat="1"/>
    <row r="231" s="31" customFormat="1"/>
    <row r="232" s="31" customFormat="1"/>
    <row r="233" s="31" customFormat="1"/>
    <row r="234" s="31" customFormat="1"/>
    <row r="235" s="31" customFormat="1"/>
    <row r="236" s="31" customFormat="1"/>
    <row r="237" s="31" customFormat="1"/>
    <row r="238" s="31" customFormat="1"/>
    <row r="239" s="31" customFormat="1"/>
    <row r="240" s="31" customFormat="1"/>
    <row r="241" s="31" customFormat="1"/>
    <row r="242" s="31" customFormat="1"/>
    <row r="243" s="31" customFormat="1"/>
    <row r="244" s="31" customFormat="1"/>
    <row r="245" s="31" customFormat="1"/>
    <row r="246" s="31" customFormat="1"/>
    <row r="247" s="31" customFormat="1"/>
    <row r="248" s="31" customFormat="1"/>
    <row r="249" s="31" customFormat="1"/>
    <row r="250" s="31" customFormat="1"/>
    <row r="251" s="31" customFormat="1"/>
    <row r="252" s="31" customFormat="1"/>
    <row r="253" s="31" customFormat="1"/>
    <row r="254" s="31" customFormat="1"/>
    <row r="255" s="31" customFormat="1"/>
    <row r="256" s="31" customFormat="1"/>
    <row r="257" s="31" customFormat="1"/>
    <row r="258" s="31" customFormat="1"/>
    <row r="259" s="31" customFormat="1"/>
    <row r="260" s="31" customFormat="1"/>
    <row r="261" s="31" customFormat="1"/>
    <row r="262" s="31" customFormat="1"/>
    <row r="263" s="31" customFormat="1"/>
    <row r="264" s="31" customFormat="1"/>
    <row r="265" s="31" customFormat="1"/>
    <row r="266" s="31" customFormat="1"/>
    <row r="267" s="31" customFormat="1"/>
    <row r="268" s="31" customFormat="1"/>
    <row r="269" s="31" customFormat="1"/>
    <row r="270" s="31" customFormat="1"/>
    <row r="271" s="31" customFormat="1"/>
    <row r="272" s="31" customFormat="1"/>
    <row r="273" s="31" customFormat="1"/>
    <row r="274" s="31" customFormat="1"/>
    <row r="275" s="31" customFormat="1"/>
    <row r="276" s="31" customFormat="1"/>
    <row r="277" s="31" customFormat="1"/>
    <row r="278" s="31" customFormat="1"/>
    <row r="279" s="31" customFormat="1"/>
    <row r="280" s="31" customFormat="1"/>
    <row r="281" s="31" customFormat="1"/>
    <row r="282" s="31" customFormat="1"/>
    <row r="283" s="31" customFormat="1"/>
    <row r="284" s="31" customFormat="1"/>
    <row r="285" s="31" customFormat="1"/>
    <row r="286" s="31" customFormat="1"/>
    <row r="287" s="31" customFormat="1"/>
    <row r="288" s="31" customFormat="1"/>
    <row r="289" s="31" customFormat="1"/>
    <row r="290" s="31" customFormat="1"/>
    <row r="291" s="31" customFormat="1"/>
    <row r="292" s="31" customFormat="1"/>
    <row r="293" s="31" customFormat="1"/>
    <row r="294" s="31" customFormat="1"/>
    <row r="295" s="31" customFormat="1"/>
    <row r="296" s="31" customFormat="1"/>
    <row r="297" s="31" customFormat="1"/>
    <row r="298" s="31" customFormat="1"/>
    <row r="299" s="31" customFormat="1"/>
    <row r="300" s="31" customFormat="1"/>
    <row r="301" s="31" customFormat="1"/>
    <row r="302" s="31" customFormat="1"/>
    <row r="303" s="31" customFormat="1"/>
    <row r="304" s="31" customFormat="1"/>
    <row r="305" s="31" customFormat="1"/>
    <row r="306" s="31" customFormat="1"/>
    <row r="307" s="31" customFormat="1"/>
    <row r="308" s="31" customFormat="1"/>
    <row r="309" s="31" customFormat="1"/>
    <row r="310" s="31" customFormat="1"/>
    <row r="311" s="31" customFormat="1"/>
    <row r="312" s="31" customFormat="1"/>
    <row r="313" s="31" customFormat="1"/>
    <row r="314" s="31" customFormat="1"/>
    <row r="315" s="31" customFormat="1"/>
    <row r="316" s="31" customFormat="1"/>
    <row r="317" s="31" customFormat="1"/>
    <row r="318" s="31" customFormat="1"/>
    <row r="319" s="31" customFormat="1"/>
    <row r="320" s="31" customFormat="1"/>
    <row r="321" s="31" customFormat="1"/>
    <row r="322" s="31" customFormat="1"/>
    <row r="323" s="31" customFormat="1"/>
    <row r="324" s="31" customFormat="1"/>
    <row r="325" s="31" customFormat="1"/>
    <row r="326" s="31" customFormat="1"/>
    <row r="327" s="31" customFormat="1"/>
    <row r="328" s="31" customFormat="1"/>
    <row r="329" s="31" customFormat="1"/>
    <row r="330" s="31" customFormat="1"/>
    <row r="331" s="31" customFormat="1"/>
    <row r="332" s="31" customFormat="1"/>
    <row r="333" s="31" customFormat="1"/>
    <row r="334" s="31" customFormat="1"/>
    <row r="335" s="31" customFormat="1"/>
    <row r="336" s="31" customFormat="1"/>
    <row r="337" s="31" customFormat="1"/>
    <row r="338" s="31" customFormat="1"/>
    <row r="339" s="31" customFormat="1"/>
    <row r="340" s="31" customFormat="1"/>
    <row r="341" s="31" customFormat="1"/>
    <row r="342" s="31" customFormat="1"/>
    <row r="343" s="31" customFormat="1"/>
    <row r="344" s="31" customFormat="1"/>
    <row r="345" s="31" customFormat="1"/>
    <row r="346" s="31" customFormat="1"/>
    <row r="347" s="31" customFormat="1"/>
    <row r="348" s="31" customFormat="1"/>
    <row r="349" s="31" customFormat="1"/>
    <row r="350" s="31" customFormat="1"/>
    <row r="351" s="31" customFormat="1"/>
    <row r="352" s="31" customFormat="1"/>
    <row r="353" s="31" customFormat="1"/>
    <row r="354" s="31" customFormat="1"/>
    <row r="355" s="31" customFormat="1"/>
    <row r="356" s="31" customFormat="1"/>
    <row r="357" s="31" customFormat="1"/>
    <row r="358" s="31" customFormat="1"/>
    <row r="359" s="31" customFormat="1"/>
    <row r="360" s="31" customFormat="1"/>
    <row r="361" s="31" customFormat="1"/>
    <row r="362" s="31" customFormat="1"/>
    <row r="363" s="31" customFormat="1"/>
    <row r="364" s="31" customFormat="1"/>
    <row r="365" s="31" customFormat="1"/>
    <row r="366" s="31" customFormat="1"/>
    <row r="367" s="31" customFormat="1"/>
    <row r="368" s="31" customFormat="1"/>
    <row r="369" s="31" customFormat="1"/>
    <row r="370" s="31" customFormat="1"/>
    <row r="371" s="31" customFormat="1"/>
    <row r="372" s="31" customFormat="1"/>
    <row r="373" s="31" customFormat="1"/>
    <row r="374" s="31" customFormat="1"/>
    <row r="375" s="31" customFormat="1"/>
    <row r="376" s="31" customFormat="1"/>
    <row r="377" s="31" customFormat="1"/>
    <row r="378" s="31" customFormat="1"/>
    <row r="379" s="31" customFormat="1"/>
    <row r="380" s="31" customFormat="1"/>
    <row r="381" s="31" customFormat="1"/>
    <row r="382" s="31" customFormat="1"/>
    <row r="383" s="31" customFormat="1"/>
    <row r="384" s="31" customFormat="1"/>
    <row r="385" s="31" customFormat="1"/>
    <row r="386" s="31" customFormat="1"/>
    <row r="387" s="31" customFormat="1"/>
    <row r="388" s="31" customFormat="1"/>
    <row r="389" s="31" customFormat="1"/>
    <row r="390" s="31" customFormat="1"/>
    <row r="391" s="31" customFormat="1"/>
    <row r="392" s="31" customFormat="1"/>
    <row r="393" s="31" customFormat="1"/>
    <row r="394" s="31" customFormat="1"/>
    <row r="395" s="31" customFormat="1"/>
    <row r="396" s="31" customFormat="1"/>
    <row r="397" s="31" customFormat="1"/>
    <row r="398" s="31" customFormat="1"/>
    <row r="399" s="31" customFormat="1"/>
    <row r="400" s="31" customFormat="1"/>
    <row r="401" s="31" customFormat="1"/>
    <row r="402" s="31" customFormat="1"/>
    <row r="403" s="31" customFormat="1"/>
    <row r="404" s="31" customFormat="1"/>
    <row r="405" s="31" customFormat="1"/>
    <row r="406" s="31" customFormat="1"/>
    <row r="407" s="31" customFormat="1"/>
    <row r="408" s="31" customFormat="1"/>
    <row r="409" s="31" customFormat="1"/>
    <row r="410" s="31" customFormat="1"/>
    <row r="411" s="31" customFormat="1"/>
    <row r="412" s="31" customFormat="1"/>
    <row r="413" s="31" customFormat="1"/>
    <row r="414" s="31" customFormat="1"/>
    <row r="415" s="31" customFormat="1"/>
    <row r="416" s="31" customFormat="1"/>
    <row r="417" s="31" customFormat="1"/>
    <row r="418" s="31" customFormat="1"/>
    <row r="419" s="31" customFormat="1"/>
    <row r="420" s="31" customFormat="1"/>
    <row r="421" s="31" customFormat="1"/>
    <row r="422" s="31" customFormat="1"/>
    <row r="423" s="31" customFormat="1"/>
    <row r="424" s="31" customFormat="1"/>
    <row r="425" s="31" customFormat="1"/>
    <row r="426" s="31" customFormat="1"/>
    <row r="427" s="31" customFormat="1"/>
    <row r="428" s="31" customFormat="1"/>
    <row r="429" s="31" customFormat="1"/>
    <row r="430" s="31" customFormat="1"/>
    <row r="431" s="31" customFormat="1"/>
    <row r="432" s="31" customFormat="1"/>
    <row r="433" s="31" customFormat="1"/>
    <row r="434" s="31" customFormat="1"/>
    <row r="435" s="31" customFormat="1"/>
    <row r="436" s="31" customFormat="1"/>
    <row r="437" s="31" customFormat="1"/>
    <row r="438" s="31" customFormat="1"/>
    <row r="439" s="31" customFormat="1"/>
    <row r="440" s="31" customFormat="1"/>
    <row r="441" s="31" customFormat="1"/>
    <row r="442" s="31" customFormat="1"/>
    <row r="443" s="31" customFormat="1"/>
    <row r="444" s="31" customFormat="1"/>
    <row r="445" s="31" customFormat="1"/>
    <row r="446" s="31" customFormat="1"/>
    <row r="447" s="31" customFormat="1"/>
    <row r="448" s="31" customFormat="1"/>
    <row r="449" s="31" customFormat="1"/>
    <row r="450" s="31" customFormat="1"/>
    <row r="451" s="31" customFormat="1"/>
    <row r="452" s="31" customFormat="1"/>
    <row r="453" s="31" customFormat="1"/>
    <row r="454" s="31" customFormat="1"/>
    <row r="455" s="31" customFormat="1"/>
    <row r="456" s="31" customFormat="1"/>
    <row r="457" s="31" customFormat="1"/>
    <row r="458" s="31" customFormat="1"/>
    <row r="459" s="31" customFormat="1"/>
    <row r="460" s="31" customFormat="1"/>
    <row r="461" s="31" customFormat="1"/>
    <row r="462" s="31" customFormat="1"/>
    <row r="463" s="31" customFormat="1"/>
    <row r="464" s="31" customFormat="1"/>
    <row r="465" s="31" customFormat="1"/>
    <row r="466" s="31" customFormat="1"/>
    <row r="467" s="31" customFormat="1"/>
    <row r="468" s="31" customFormat="1"/>
    <row r="469" s="31" customFormat="1"/>
    <row r="470" s="31" customFormat="1"/>
    <row r="471" s="31" customFormat="1"/>
    <row r="472" s="31" customFormat="1"/>
    <row r="473" s="31" customFormat="1"/>
    <row r="474" s="31" customFormat="1"/>
    <row r="475" s="31" customFormat="1"/>
    <row r="476" s="31" customFormat="1"/>
    <row r="477" s="31" customFormat="1"/>
    <row r="478" s="31" customFormat="1"/>
    <row r="479" s="31" customFormat="1"/>
    <row r="480" s="31" customFormat="1"/>
    <row r="481" s="31" customFormat="1"/>
    <row r="482" s="31" customFormat="1"/>
    <row r="483" s="31" customFormat="1"/>
    <row r="484" s="31" customFormat="1"/>
    <row r="485" s="31" customFormat="1"/>
    <row r="486" s="31" customFormat="1"/>
    <row r="487" s="31" customFormat="1"/>
    <row r="488" s="31" customFormat="1"/>
    <row r="489" s="31" customFormat="1"/>
    <row r="490" s="31" customFormat="1"/>
    <row r="491" s="31" customFormat="1"/>
    <row r="492" s="31" customFormat="1"/>
    <row r="493" s="31" customFormat="1"/>
    <row r="494" s="31" customFormat="1"/>
    <row r="495" s="31" customFormat="1"/>
    <row r="496" s="31" customFormat="1"/>
    <row r="497" s="31" customFormat="1"/>
    <row r="498" s="31" customFormat="1"/>
    <row r="499" s="31" customFormat="1"/>
    <row r="500" s="31" customFormat="1"/>
    <row r="501" s="31" customFormat="1"/>
    <row r="502" s="31" customFormat="1"/>
    <row r="503" s="31" customFormat="1"/>
    <row r="504" s="31" customFormat="1"/>
    <row r="505" s="31" customFormat="1"/>
    <row r="506" s="31" customFormat="1"/>
    <row r="507" s="31" customFormat="1"/>
    <row r="508" s="31" customFormat="1"/>
    <row r="509" s="31" customFormat="1"/>
    <row r="510" s="31" customFormat="1"/>
    <row r="511" s="31" customFormat="1"/>
    <row r="512" s="31" customFormat="1"/>
    <row r="513" s="31" customFormat="1"/>
    <row r="514" s="31" customFormat="1"/>
    <row r="515" s="31" customFormat="1"/>
    <row r="516" s="31" customFormat="1"/>
    <row r="517" s="31" customFormat="1"/>
    <row r="518" s="31" customFormat="1"/>
    <row r="519" s="31" customFormat="1"/>
    <row r="520" s="31" customFormat="1"/>
    <row r="521" s="31" customFormat="1"/>
    <row r="522" s="31" customFormat="1"/>
    <row r="523" s="31" customFormat="1"/>
    <row r="524" s="31" customFormat="1"/>
    <row r="525" s="31" customFormat="1"/>
    <row r="526" s="31" customFormat="1"/>
    <row r="527" s="31" customFormat="1"/>
    <row r="528" s="31" customFormat="1"/>
    <row r="529" s="31" customFormat="1"/>
    <row r="530" s="31" customFormat="1"/>
    <row r="531" s="31" customFormat="1"/>
    <row r="532" s="31" customFormat="1"/>
    <row r="533" s="31" customFormat="1"/>
    <row r="534" s="31" customFormat="1"/>
    <row r="535" s="31" customFormat="1"/>
    <row r="536" s="31" customFormat="1"/>
    <row r="537" s="31" customFormat="1"/>
    <row r="538" s="31" customFormat="1"/>
    <row r="539" s="31" customFormat="1"/>
    <row r="540" s="31" customFormat="1"/>
    <row r="541" s="31" customFormat="1"/>
    <row r="542" s="31" customFormat="1"/>
    <row r="543" s="31" customFormat="1"/>
    <row r="544" s="31" customFormat="1"/>
    <row r="545" s="31" customFormat="1"/>
    <row r="546" s="31" customFormat="1"/>
    <row r="547" s="31" customFormat="1"/>
    <row r="548" s="31" customFormat="1"/>
    <row r="549" s="31" customFormat="1"/>
    <row r="550" s="31" customFormat="1"/>
    <row r="551" s="31" customFormat="1"/>
    <row r="552" s="31" customFormat="1"/>
    <row r="553" s="31" customFormat="1"/>
    <row r="554" s="31" customFormat="1"/>
    <row r="555" s="31" customFormat="1"/>
    <row r="556" s="31" customFormat="1"/>
    <row r="557" s="31" customFormat="1"/>
    <row r="558" s="31" customFormat="1"/>
    <row r="559" s="31" customFormat="1"/>
    <row r="560" s="31" customFormat="1"/>
    <row r="561" s="31" customFormat="1"/>
    <row r="562" s="31" customFormat="1"/>
    <row r="563" s="31" customFormat="1"/>
    <row r="564" s="31" customFormat="1"/>
    <row r="565" s="31" customFormat="1"/>
    <row r="566" s="31" customFormat="1"/>
    <row r="567" s="31" customFormat="1"/>
    <row r="568" s="31" customFormat="1"/>
    <row r="569" s="31" customFormat="1"/>
    <row r="570" s="31" customFormat="1"/>
    <row r="571" s="31" customFormat="1"/>
    <row r="572" s="31" customFormat="1"/>
    <row r="573" s="31" customFormat="1"/>
    <row r="574" s="31" customFormat="1"/>
    <row r="575" s="31" customFormat="1"/>
    <row r="576" s="31" customFormat="1"/>
    <row r="577" s="31" customFormat="1"/>
    <row r="578" s="31" customFormat="1"/>
    <row r="579" s="31" customFormat="1"/>
    <row r="580" s="31" customFormat="1"/>
    <row r="581" s="31" customFormat="1"/>
    <row r="582" s="31" customFormat="1"/>
    <row r="583" s="31" customFormat="1"/>
    <row r="584" s="31" customFormat="1"/>
    <row r="585" s="31" customFormat="1"/>
    <row r="586" s="31" customFormat="1"/>
    <row r="587" s="31" customFormat="1"/>
    <row r="588" s="31" customFormat="1"/>
    <row r="589" s="31" customFormat="1"/>
    <row r="590" s="31" customFormat="1"/>
    <row r="591" s="31" customFormat="1"/>
    <row r="592" s="31" customFormat="1"/>
    <row r="593" s="31" customFormat="1"/>
    <row r="594" s="31" customFormat="1"/>
    <row r="595" s="31" customFormat="1"/>
    <row r="596" s="31" customFormat="1"/>
    <row r="597" s="31" customFormat="1"/>
    <row r="598" s="31" customFormat="1"/>
    <row r="599" s="31" customFormat="1"/>
    <row r="600" s="31" customFormat="1"/>
    <row r="601" s="31" customFormat="1"/>
    <row r="602" s="31" customFormat="1"/>
    <row r="603" s="31" customFormat="1"/>
    <row r="604" s="31" customFormat="1"/>
    <row r="605" s="31" customFormat="1"/>
    <row r="606" s="31" customFormat="1"/>
    <row r="607" s="31" customFormat="1"/>
    <row r="608" s="31" customFormat="1"/>
    <row r="609" s="31" customFormat="1"/>
    <row r="610" s="31" customFormat="1"/>
    <row r="611" s="31" customFormat="1"/>
    <row r="612" s="31" customFormat="1"/>
    <row r="613" s="31" customFormat="1"/>
    <row r="614" s="31" customFormat="1"/>
    <row r="615" s="31" customFormat="1"/>
    <row r="616" s="31" customFormat="1"/>
    <row r="617" s="31" customFormat="1"/>
    <row r="618" s="31" customFormat="1"/>
    <row r="619" s="31" customFormat="1"/>
    <row r="620" s="31" customFormat="1"/>
    <row r="621" s="31" customFormat="1"/>
    <row r="622" s="31" customFormat="1"/>
    <row r="623" s="31" customFormat="1"/>
    <row r="624" s="31" customFormat="1"/>
    <row r="625" s="31" customFormat="1"/>
    <row r="626" s="31" customFormat="1"/>
    <row r="627" s="31" customFormat="1"/>
    <row r="628" s="31" customFormat="1"/>
    <row r="629" s="31" customFormat="1"/>
    <row r="630" s="31" customFormat="1"/>
    <row r="631" s="31" customFormat="1"/>
    <row r="632" s="31" customFormat="1"/>
    <row r="633" s="31" customFormat="1"/>
    <row r="634" s="31" customFormat="1"/>
    <row r="635" s="31" customFormat="1"/>
    <row r="636" s="31" customFormat="1"/>
    <row r="637" s="31" customFormat="1"/>
    <row r="638" s="31" customFormat="1"/>
    <row r="639" s="31" customFormat="1"/>
    <row r="640" s="31" customFormat="1"/>
    <row r="641" s="31" customFormat="1"/>
    <row r="642" s="31" customFormat="1"/>
    <row r="643" s="31" customFormat="1"/>
    <row r="644" s="31" customFormat="1"/>
    <row r="645" s="31" customFormat="1"/>
    <row r="646" s="31" customFormat="1"/>
    <row r="647" s="31" customFormat="1"/>
    <row r="648" s="31" customFormat="1"/>
    <row r="649" s="31" customFormat="1"/>
    <row r="650" s="31" customFormat="1"/>
    <row r="651" s="31" customFormat="1"/>
    <row r="652" s="31" customFormat="1"/>
    <row r="653" s="31" customFormat="1"/>
    <row r="654" s="31" customFormat="1"/>
    <row r="655" s="31" customFormat="1"/>
    <row r="656" s="31" customFormat="1"/>
    <row r="657" s="31" customFormat="1"/>
    <row r="658" s="31" customFormat="1"/>
    <row r="659" s="31" customFormat="1"/>
    <row r="660" s="31" customFormat="1"/>
    <row r="661" s="31" customFormat="1"/>
    <row r="662" s="31" customFormat="1"/>
    <row r="663" s="31" customFormat="1"/>
    <row r="664" s="31" customFormat="1"/>
    <row r="665" s="31" customFormat="1"/>
    <row r="666" s="31" customFormat="1"/>
    <row r="667" s="31" customFormat="1"/>
    <row r="668" s="31" customFormat="1"/>
    <row r="669" s="31" customFormat="1"/>
    <row r="670" s="31" customFormat="1"/>
    <row r="671" s="31" customFormat="1"/>
    <row r="672" s="31" customFormat="1"/>
    <row r="673" s="31" customFormat="1"/>
    <row r="674" s="31" customFormat="1"/>
    <row r="675" s="31" customFormat="1"/>
    <row r="676" s="31" customFormat="1"/>
    <row r="677" s="31" customFormat="1"/>
    <row r="678" s="31" customFormat="1"/>
    <row r="679" s="31" customFormat="1"/>
    <row r="680" s="31" customFormat="1"/>
    <row r="681" s="31" customFormat="1"/>
    <row r="682" s="31" customFormat="1"/>
    <row r="683" s="31" customFormat="1"/>
    <row r="684" s="31" customFormat="1"/>
    <row r="685" s="31" customFormat="1"/>
    <row r="686" s="31" customFormat="1"/>
    <row r="687" s="31" customFormat="1"/>
    <row r="688" s="31" customFormat="1"/>
    <row r="689" s="31" customFormat="1"/>
    <row r="690" s="31" customFormat="1"/>
    <row r="691" s="31" customFormat="1"/>
    <row r="692" s="31" customFormat="1"/>
    <row r="693" s="31" customFormat="1"/>
    <row r="694" s="31" customFormat="1"/>
    <row r="695" s="31" customFormat="1"/>
    <row r="696" s="31" customFormat="1"/>
    <row r="697" s="31" customFormat="1"/>
    <row r="698" s="31" customFormat="1"/>
    <row r="699" s="31" customFormat="1"/>
    <row r="700" s="31" customFormat="1"/>
    <row r="701" s="31" customFormat="1"/>
    <row r="702" s="31" customFormat="1"/>
    <row r="703" s="31" customFormat="1"/>
    <row r="704" s="31" customFormat="1"/>
    <row r="705" s="31" customFormat="1"/>
    <row r="706" s="31" customFormat="1"/>
    <row r="707" s="31" customFormat="1"/>
    <row r="708" s="31" customFormat="1"/>
    <row r="709" s="31" customFormat="1"/>
    <row r="710" s="31" customFormat="1"/>
    <row r="711" s="31" customFormat="1"/>
    <row r="712" s="31" customFormat="1"/>
    <row r="713" s="31" customFormat="1"/>
    <row r="714" s="31" customFormat="1"/>
    <row r="715" s="31" customFormat="1"/>
    <row r="716" s="31" customFormat="1"/>
    <row r="717" s="31" customFormat="1"/>
    <row r="718" s="31" customFormat="1"/>
    <row r="719" s="31" customFormat="1"/>
    <row r="720" s="31" customFormat="1"/>
    <row r="721" s="31" customFormat="1"/>
    <row r="722" s="31" customFormat="1"/>
    <row r="723" s="31" customFormat="1"/>
    <row r="724" s="31" customFormat="1"/>
    <row r="725" s="31" customFormat="1"/>
    <row r="726" s="31" customFormat="1"/>
    <row r="727" s="31" customFormat="1"/>
    <row r="728" s="31" customFormat="1"/>
    <row r="729" s="31" customFormat="1"/>
    <row r="730" s="31" customFormat="1"/>
    <row r="731" s="31" customFormat="1"/>
    <row r="732" s="31" customFormat="1"/>
    <row r="733" s="31" customFormat="1"/>
    <row r="734" s="31" customFormat="1"/>
    <row r="735" s="31" customFormat="1"/>
    <row r="736" s="31" customFormat="1"/>
    <row r="737" s="31" customFormat="1"/>
    <row r="738" s="31" customFormat="1"/>
    <row r="739" s="31" customFormat="1"/>
    <row r="740" s="31" customFormat="1"/>
    <row r="741" s="31" customFormat="1"/>
    <row r="742" s="31" customFormat="1"/>
    <row r="743" s="31" customFormat="1"/>
  </sheetData>
  <mergeCells count="2">
    <mergeCell ref="A1:I1"/>
    <mergeCell ref="J1:R1"/>
  </mergeCells>
  <dataValidations count="2">
    <dataValidation type="list" sqref="D10:D20" xr:uid="{00000000-0002-0000-0000-000000000000}">
      <formula1>"Tonya Coyne,Macameron Clark,Ricky Diaz,Entire Team"</formula1>
    </dataValidation>
    <dataValidation type="list" sqref="G10:G20" xr:uid="{00000000-0002-0000-0000-000001000000}">
      <formula1>"Not Started,In Progress,Blocked,Complete"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43"/>
  <sheetViews>
    <sheetView showGridLines="0" tabSelected="1" topLeftCell="A11" zoomScale="85" zoomScaleNormal="85" workbookViewId="0">
      <selection activeCell="D17" sqref="D17"/>
    </sheetView>
  </sheetViews>
  <sheetFormatPr defaultColWidth="9" defaultRowHeight="13.8"/>
  <cols>
    <col min="1" max="1" width="17" style="7" customWidth="1"/>
    <col min="2" max="2" width="13" style="7" customWidth="1"/>
    <col min="3" max="3" width="34" style="7" customWidth="1"/>
    <col min="4" max="4" width="20" style="7" customWidth="1"/>
    <col min="5" max="5" width="15" style="7" customWidth="1"/>
    <col min="6" max="6" width="16" style="7" customWidth="1"/>
    <col min="7" max="7" width="14" style="7" customWidth="1"/>
    <col min="8" max="8" width="42" style="7" customWidth="1"/>
    <col min="9" max="9" width="38" style="7" customWidth="1"/>
    <col min="10" max="10" width="54.19921875" style="13" customWidth="1"/>
    <col min="11" max="18" width="9" style="13"/>
    <col min="19" max="16384" width="9" style="7"/>
  </cols>
  <sheetData>
    <row r="1" spans="1:18" ht="30" customHeight="1">
      <c r="A1" s="42" t="s">
        <v>88</v>
      </c>
      <c r="B1" s="42"/>
      <c r="C1" s="42"/>
      <c r="D1" s="42"/>
      <c r="E1" s="42"/>
      <c r="F1" s="42"/>
      <c r="G1" s="42"/>
      <c r="H1" s="42"/>
      <c r="I1" s="42"/>
      <c r="J1" s="42"/>
      <c r="K1" s="42"/>
      <c r="L1" s="42"/>
      <c r="M1" s="42"/>
      <c r="N1" s="42"/>
      <c r="O1" s="42"/>
      <c r="P1" s="42"/>
      <c r="Q1" s="42"/>
      <c r="R1" s="42"/>
    </row>
    <row r="2" spans="1:18">
      <c r="J2" s="7"/>
      <c r="K2" s="7"/>
      <c r="L2" s="7"/>
      <c r="M2" s="7"/>
      <c r="N2" s="7"/>
      <c r="O2" s="7"/>
      <c r="P2" s="7"/>
      <c r="Q2" s="7"/>
      <c r="R2" s="7"/>
    </row>
    <row r="3" spans="1:18">
      <c r="A3" s="8" t="s">
        <v>1</v>
      </c>
      <c r="B3" s="44" t="s">
        <v>2</v>
      </c>
      <c r="C3" s="45"/>
      <c r="D3" s="45"/>
      <c r="E3" s="45"/>
      <c r="F3" s="45"/>
      <c r="G3" s="45"/>
      <c r="H3" s="45"/>
      <c r="I3" s="45"/>
      <c r="J3" s="46"/>
      <c r="K3" s="45"/>
      <c r="L3" s="45"/>
      <c r="M3" s="45"/>
      <c r="N3" s="45"/>
      <c r="O3" s="45"/>
      <c r="P3" s="45"/>
      <c r="Q3" s="45"/>
      <c r="R3" s="7"/>
    </row>
    <row r="4" spans="1:18">
      <c r="A4" s="8" t="s">
        <v>3</v>
      </c>
      <c r="B4" s="44" t="s">
        <v>89</v>
      </c>
      <c r="C4" s="45"/>
      <c r="D4" s="45"/>
      <c r="E4" s="45"/>
      <c r="F4" s="45"/>
      <c r="G4" s="45"/>
      <c r="H4" s="45"/>
      <c r="I4" s="45"/>
      <c r="J4" s="46"/>
      <c r="K4" s="45"/>
      <c r="L4" s="45"/>
      <c r="M4" s="45"/>
      <c r="N4" s="45"/>
      <c r="O4" s="45"/>
      <c r="P4" s="45"/>
      <c r="Q4" s="45"/>
      <c r="R4" s="7"/>
    </row>
    <row r="5" spans="1:18">
      <c r="A5" s="8" t="s">
        <v>5</v>
      </c>
      <c r="B5" s="44" t="s">
        <v>6</v>
      </c>
      <c r="C5" s="45"/>
      <c r="D5" s="45"/>
      <c r="E5" s="45"/>
      <c r="F5" s="45"/>
      <c r="G5" s="45"/>
      <c r="H5" s="45"/>
      <c r="I5" s="45"/>
      <c r="J5" s="46"/>
      <c r="K5" s="45"/>
      <c r="L5" s="45"/>
      <c r="M5" s="45"/>
      <c r="N5" s="45"/>
      <c r="O5" s="45"/>
      <c r="P5" s="45"/>
      <c r="Q5" s="45"/>
      <c r="R5" s="7"/>
    </row>
    <row r="6" spans="1:18" ht="15" customHeight="1">
      <c r="A6" s="17" t="s">
        <v>90</v>
      </c>
      <c r="B6" s="47" t="s">
        <v>91</v>
      </c>
      <c r="C6" s="48"/>
      <c r="D6" s="48"/>
      <c r="E6" s="48"/>
      <c r="F6" s="48"/>
      <c r="G6" s="48"/>
      <c r="H6" s="48"/>
      <c r="I6" s="48"/>
      <c r="J6" s="46"/>
      <c r="K6" s="45"/>
      <c r="L6" s="45"/>
      <c r="M6" s="45"/>
      <c r="N6" s="45"/>
      <c r="O6" s="45"/>
      <c r="P6" s="45"/>
      <c r="Q6" s="45"/>
      <c r="R6" s="7"/>
    </row>
    <row r="7" spans="1:18">
      <c r="A7" s="8" t="s">
        <v>9</v>
      </c>
      <c r="B7" s="44" t="s">
        <v>92</v>
      </c>
      <c r="C7" s="45"/>
      <c r="D7" s="45"/>
      <c r="E7" s="45"/>
      <c r="F7" s="45"/>
      <c r="G7" s="45"/>
      <c r="H7" s="45"/>
      <c r="I7" s="45"/>
      <c r="J7" s="46"/>
      <c r="K7" s="45"/>
      <c r="L7" s="45"/>
      <c r="M7" s="45"/>
      <c r="N7" s="45"/>
      <c r="O7" s="45"/>
      <c r="P7" s="45"/>
      <c r="Q7" s="45"/>
      <c r="R7" s="7"/>
    </row>
    <row r="8" spans="1:18">
      <c r="J8" s="7"/>
      <c r="K8" s="7"/>
      <c r="L8" s="7"/>
      <c r="M8" s="7"/>
      <c r="N8" s="7"/>
      <c r="O8" s="7"/>
      <c r="P8" s="7"/>
      <c r="Q8" s="7"/>
      <c r="R8" s="7"/>
    </row>
    <row r="9" spans="1:18" ht="27.6">
      <c r="A9" s="1" t="s">
        <v>11</v>
      </c>
      <c r="B9" s="1" t="s">
        <v>12</v>
      </c>
      <c r="C9" s="1" t="s">
        <v>13</v>
      </c>
      <c r="D9" s="1" t="s">
        <v>14</v>
      </c>
      <c r="E9" s="1" t="s">
        <v>15</v>
      </c>
      <c r="F9" s="1" t="s">
        <v>93</v>
      </c>
      <c r="G9" s="1" t="s">
        <v>17</v>
      </c>
      <c r="H9" s="1" t="s">
        <v>18</v>
      </c>
      <c r="I9" s="11" t="s">
        <v>19</v>
      </c>
      <c r="J9" s="11" t="s">
        <v>20</v>
      </c>
    </row>
    <row r="10" spans="1:18" ht="41.4">
      <c r="A10" s="4" t="s">
        <v>21</v>
      </c>
      <c r="B10" s="4" t="s">
        <v>22</v>
      </c>
      <c r="C10" s="4" t="s">
        <v>23</v>
      </c>
      <c r="D10" s="4" t="s">
        <v>94</v>
      </c>
      <c r="E10" s="4">
        <v>1</v>
      </c>
      <c r="F10" s="25">
        <v>1</v>
      </c>
      <c r="G10" s="5" t="s">
        <v>25</v>
      </c>
      <c r="H10" s="4" t="s">
        <v>95</v>
      </c>
      <c r="I10" s="12"/>
      <c r="J10" s="7" t="s">
        <v>96</v>
      </c>
    </row>
    <row r="11" spans="1:18" ht="41.4">
      <c r="A11" s="4" t="s">
        <v>28</v>
      </c>
      <c r="B11" s="4" t="s">
        <v>29</v>
      </c>
      <c r="C11" s="4" t="s">
        <v>30</v>
      </c>
      <c r="D11" s="4" t="s">
        <v>253</v>
      </c>
      <c r="E11" s="4">
        <v>1.5</v>
      </c>
      <c r="F11" s="25">
        <v>1.5</v>
      </c>
      <c r="G11" s="5" t="s">
        <v>25</v>
      </c>
      <c r="H11" s="4" t="s">
        <v>31</v>
      </c>
      <c r="I11" s="12"/>
      <c r="J11" s="7" t="s">
        <v>97</v>
      </c>
    </row>
    <row r="12" spans="1:18" ht="55.2">
      <c r="A12" s="4" t="s">
        <v>33</v>
      </c>
      <c r="B12" s="4" t="s">
        <v>34</v>
      </c>
      <c r="C12" s="4" t="s">
        <v>35</v>
      </c>
      <c r="D12" s="4" t="s">
        <v>36</v>
      </c>
      <c r="E12" s="4">
        <v>1</v>
      </c>
      <c r="F12" s="25">
        <v>1</v>
      </c>
      <c r="G12" s="5" t="s">
        <v>25</v>
      </c>
      <c r="H12" s="4" t="s">
        <v>37</v>
      </c>
      <c r="I12" s="12" t="s">
        <v>38</v>
      </c>
      <c r="J12" s="15" t="s">
        <v>98</v>
      </c>
    </row>
    <row r="13" spans="1:18" ht="54.6" customHeight="1">
      <c r="A13" s="4" t="s">
        <v>40</v>
      </c>
      <c r="B13" s="4" t="s">
        <v>41</v>
      </c>
      <c r="C13" s="4" t="s">
        <v>42</v>
      </c>
      <c r="D13" s="4" t="s">
        <v>48</v>
      </c>
      <c r="E13" s="4">
        <v>3</v>
      </c>
      <c r="F13" s="25">
        <v>3</v>
      </c>
      <c r="G13" s="5" t="s">
        <v>25</v>
      </c>
      <c r="H13" s="4" t="s">
        <v>99</v>
      </c>
      <c r="I13" s="12"/>
      <c r="J13" s="15" t="s">
        <v>100</v>
      </c>
    </row>
    <row r="14" spans="1:18" ht="41.4">
      <c r="A14" s="4" t="s">
        <v>45</v>
      </c>
      <c r="B14" s="4" t="s">
        <v>46</v>
      </c>
      <c r="C14" s="4" t="s">
        <v>47</v>
      </c>
      <c r="D14" s="4" t="s">
        <v>48</v>
      </c>
      <c r="E14" s="4">
        <v>3</v>
      </c>
      <c r="F14" s="25">
        <v>3</v>
      </c>
      <c r="G14" s="5" t="s">
        <v>25</v>
      </c>
      <c r="H14" s="4" t="s">
        <v>99</v>
      </c>
      <c r="I14" s="12"/>
      <c r="J14" s="13" t="s">
        <v>101</v>
      </c>
    </row>
    <row r="15" spans="1:18" ht="41.4">
      <c r="A15" s="4" t="s">
        <v>51</v>
      </c>
      <c r="B15" s="4" t="s">
        <v>52</v>
      </c>
      <c r="C15" s="4" t="s">
        <v>53</v>
      </c>
      <c r="D15" s="4" t="s">
        <v>48</v>
      </c>
      <c r="E15" s="4">
        <v>2</v>
      </c>
      <c r="F15" s="25">
        <v>2</v>
      </c>
      <c r="G15" s="5" t="s">
        <v>25</v>
      </c>
      <c r="H15" s="4" t="s">
        <v>99</v>
      </c>
      <c r="I15" s="12"/>
      <c r="J15" s="13" t="s">
        <v>102</v>
      </c>
    </row>
    <row r="16" spans="1:18" ht="41.4">
      <c r="A16" s="4" t="s">
        <v>56</v>
      </c>
      <c r="B16" s="4" t="s">
        <v>57</v>
      </c>
      <c r="C16" s="4" t="s">
        <v>58</v>
      </c>
      <c r="D16" s="4" t="s">
        <v>48</v>
      </c>
      <c r="E16" s="4">
        <v>3</v>
      </c>
      <c r="F16" s="25">
        <v>3</v>
      </c>
      <c r="G16" s="5" t="s">
        <v>25</v>
      </c>
      <c r="H16" s="4" t="s">
        <v>103</v>
      </c>
      <c r="I16" s="12"/>
      <c r="J16" s="13" t="s">
        <v>104</v>
      </c>
    </row>
    <row r="17" spans="1:18" ht="41.4">
      <c r="A17" s="4" t="s">
        <v>61</v>
      </c>
      <c r="B17" s="4" t="s">
        <v>62</v>
      </c>
      <c r="C17" s="4" t="s">
        <v>63</v>
      </c>
      <c r="D17" s="4" t="s">
        <v>134</v>
      </c>
      <c r="E17" s="4">
        <v>3</v>
      </c>
      <c r="F17" s="25">
        <v>3</v>
      </c>
      <c r="G17" s="5" t="s">
        <v>25</v>
      </c>
      <c r="H17" s="4" t="s">
        <v>105</v>
      </c>
      <c r="I17" s="12"/>
      <c r="J17" s="15" t="s">
        <v>106</v>
      </c>
    </row>
    <row r="18" spans="1:18" ht="41.4">
      <c r="A18" s="4" t="s">
        <v>66</v>
      </c>
      <c r="B18" s="4" t="s">
        <v>67</v>
      </c>
      <c r="C18" s="4" t="s">
        <v>68</v>
      </c>
      <c r="D18" s="4" t="s">
        <v>134</v>
      </c>
      <c r="E18" s="4">
        <v>2</v>
      </c>
      <c r="F18" s="25">
        <v>2</v>
      </c>
      <c r="G18" s="5" t="s">
        <v>25</v>
      </c>
      <c r="H18" s="4" t="s">
        <v>107</v>
      </c>
      <c r="I18" s="12"/>
      <c r="J18" s="15" t="s">
        <v>108</v>
      </c>
      <c r="K18" s="14"/>
    </row>
    <row r="19" spans="1:18" ht="41.4">
      <c r="A19" s="4" t="s">
        <v>71</v>
      </c>
      <c r="B19" s="4" t="s">
        <v>72</v>
      </c>
      <c r="C19" s="4" t="s">
        <v>109</v>
      </c>
      <c r="D19" s="4" t="s">
        <v>94</v>
      </c>
      <c r="E19" s="4">
        <v>1.5</v>
      </c>
      <c r="F19" s="25">
        <v>1.5</v>
      </c>
      <c r="G19" s="5" t="s">
        <v>25</v>
      </c>
      <c r="H19" s="4" t="s">
        <v>110</v>
      </c>
      <c r="I19" s="12"/>
      <c r="J19" s="15" t="s">
        <v>111</v>
      </c>
    </row>
    <row r="20" spans="1:18" ht="41.4">
      <c r="A20" s="4" t="s">
        <v>77</v>
      </c>
      <c r="B20" s="4" t="s">
        <v>78</v>
      </c>
      <c r="C20" s="4" t="s">
        <v>112</v>
      </c>
      <c r="D20" s="4" t="s">
        <v>94</v>
      </c>
      <c r="E20" s="4">
        <v>1</v>
      </c>
      <c r="F20" s="25">
        <v>1</v>
      </c>
      <c r="G20" s="5" t="s">
        <v>25</v>
      </c>
      <c r="H20" s="4" t="s">
        <v>114</v>
      </c>
      <c r="I20" s="12"/>
      <c r="J20" s="15" t="s">
        <v>115</v>
      </c>
    </row>
    <row r="21" spans="1:18">
      <c r="J21" s="7"/>
      <c r="K21" s="7"/>
      <c r="L21" s="7"/>
      <c r="M21" s="7"/>
      <c r="N21" s="7"/>
      <c r="O21" s="7"/>
      <c r="P21" s="7"/>
      <c r="Q21" s="7"/>
      <c r="R21" s="7"/>
    </row>
    <row r="22" spans="1:18" ht="27.6">
      <c r="A22" s="1" t="s">
        <v>82</v>
      </c>
      <c r="B22" s="1" t="s">
        <v>83</v>
      </c>
      <c r="C22" s="1" t="s">
        <v>84</v>
      </c>
      <c r="D22" s="1" t="s">
        <v>85</v>
      </c>
      <c r="J22" s="7"/>
      <c r="K22" s="7"/>
      <c r="L22" s="7"/>
      <c r="M22" s="7"/>
      <c r="N22" s="7"/>
      <c r="O22" s="7"/>
      <c r="P22" s="7"/>
      <c r="Q22" s="7"/>
      <c r="R22" s="7"/>
    </row>
    <row r="23" spans="1:18">
      <c r="A23" s="3" t="s">
        <v>116</v>
      </c>
      <c r="B23" s="9">
        <f>SUM(E10:E20)</f>
        <v>22</v>
      </c>
      <c r="C23" s="9">
        <f>SUM(F10:F20)</f>
        <v>22</v>
      </c>
      <c r="D23" s="10">
        <f>COUNTIF(G10:G20,"Complete")/COUNTA(A10:A20)</f>
        <v>1</v>
      </c>
      <c r="J23" s="7"/>
      <c r="K23" s="7"/>
      <c r="L23" s="7"/>
      <c r="M23" s="7"/>
      <c r="N23" s="7"/>
      <c r="O23" s="7"/>
      <c r="P23" s="7"/>
      <c r="Q23" s="7"/>
      <c r="R23" s="7"/>
    </row>
    <row r="24" spans="1:18">
      <c r="J24" s="7"/>
      <c r="K24" s="7"/>
      <c r="L24" s="7"/>
      <c r="M24" s="7"/>
      <c r="N24" s="7"/>
      <c r="O24" s="7"/>
      <c r="P24" s="7"/>
      <c r="Q24" s="7"/>
      <c r="R24" s="7"/>
    </row>
    <row r="25" spans="1:18" ht="14.4">
      <c r="A25" s="43" t="s">
        <v>117</v>
      </c>
      <c r="B25" s="43"/>
      <c r="C25" s="43"/>
      <c r="D25" s="43"/>
      <c r="E25" s="43"/>
      <c r="F25" s="43"/>
      <c r="G25" s="43"/>
      <c r="H25" s="43"/>
      <c r="I25" s="43"/>
      <c r="J25" s="43"/>
      <c r="K25" s="43"/>
      <c r="L25" s="43"/>
      <c r="M25" s="43"/>
      <c r="N25" s="43"/>
      <c r="O25" s="43"/>
      <c r="P25" s="43"/>
      <c r="Q25" s="43"/>
      <c r="R25" s="43"/>
    </row>
    <row r="26" spans="1:18">
      <c r="J26" s="7"/>
      <c r="K26" s="7"/>
      <c r="L26" s="7"/>
      <c r="M26" s="7"/>
      <c r="N26" s="7"/>
      <c r="O26" s="7"/>
      <c r="P26" s="7"/>
      <c r="Q26" s="7"/>
      <c r="R26" s="7"/>
    </row>
    <row r="27" spans="1:18">
      <c r="J27" s="7"/>
      <c r="K27" s="7"/>
      <c r="L27" s="7"/>
      <c r="M27" s="7"/>
      <c r="N27" s="7"/>
      <c r="O27" s="7"/>
      <c r="P27" s="7"/>
      <c r="Q27" s="7"/>
      <c r="R27" s="7"/>
    </row>
    <row r="28" spans="1:18">
      <c r="J28" s="7"/>
      <c r="K28" s="7"/>
      <c r="L28" s="7"/>
      <c r="M28" s="7"/>
      <c r="N28" s="7"/>
      <c r="O28" s="7"/>
      <c r="P28" s="7"/>
      <c r="Q28" s="7"/>
      <c r="R28" s="7"/>
    </row>
    <row r="29" spans="1:18">
      <c r="J29" s="7"/>
      <c r="K29" s="7"/>
      <c r="L29" s="7"/>
      <c r="M29" s="7"/>
      <c r="N29" s="7"/>
      <c r="O29" s="7"/>
      <c r="P29" s="7"/>
      <c r="Q29" s="7"/>
      <c r="R29" s="7"/>
    </row>
    <row r="30" spans="1:18">
      <c r="J30" s="7"/>
      <c r="K30" s="7"/>
      <c r="L30" s="7"/>
      <c r="M30" s="7"/>
      <c r="N30" s="7"/>
      <c r="O30" s="7"/>
      <c r="P30" s="7"/>
      <c r="Q30" s="7"/>
      <c r="R30" s="7"/>
    </row>
    <row r="31" spans="1:18">
      <c r="J31" s="7"/>
      <c r="K31" s="7"/>
      <c r="L31" s="7"/>
      <c r="M31" s="7"/>
      <c r="N31" s="7"/>
      <c r="O31" s="7"/>
      <c r="P31" s="7"/>
      <c r="Q31" s="7"/>
      <c r="R31" s="7"/>
    </row>
    <row r="32" spans="1:18">
      <c r="J32" s="7"/>
      <c r="K32" s="7"/>
      <c r="L32" s="7"/>
      <c r="M32" s="7"/>
      <c r="N32" s="7"/>
      <c r="O32" s="7"/>
      <c r="P32" s="7"/>
      <c r="Q32" s="7"/>
      <c r="R32" s="7"/>
    </row>
    <row r="33" s="7" customFormat="1"/>
    <row r="34" s="7" customFormat="1"/>
    <row r="35" s="7" customFormat="1"/>
    <row r="36" s="7" customFormat="1"/>
    <row r="37" s="7" customFormat="1"/>
    <row r="38" s="7" customFormat="1"/>
    <row r="39" s="7" customFormat="1"/>
    <row r="40" s="7" customFormat="1"/>
    <row r="41" s="7" customFormat="1"/>
    <row r="42" s="7" customFormat="1"/>
    <row r="43" s="7" customFormat="1"/>
    <row r="44" s="7" customFormat="1"/>
    <row r="45" s="7" customFormat="1"/>
    <row r="46" s="7" customFormat="1"/>
    <row r="47" s="7" customFormat="1"/>
    <row r="48" s="7" customFormat="1"/>
    <row r="49" s="7" customFormat="1"/>
    <row r="50" s="7" customFormat="1"/>
    <row r="51" s="7" customFormat="1"/>
    <row r="52" s="7" customFormat="1"/>
    <row r="53" s="7" customFormat="1"/>
    <row r="54" s="7" customFormat="1"/>
    <row r="55" s="7" customFormat="1"/>
    <row r="56" s="7" customFormat="1"/>
    <row r="57" s="7" customFormat="1"/>
    <row r="58" s="7" customFormat="1"/>
    <row r="59" s="7" customFormat="1"/>
    <row r="60" s="7" customFormat="1"/>
    <row r="61" s="7" customFormat="1"/>
    <row r="62" s="7" customFormat="1"/>
    <row r="63" s="7" customFormat="1"/>
    <row r="64" s="7" customFormat="1"/>
    <row r="65" s="7" customFormat="1"/>
    <row r="66" s="7" customFormat="1"/>
    <row r="67" s="7" customFormat="1"/>
    <row r="68" s="7" customFormat="1"/>
    <row r="69" s="7" customFormat="1"/>
    <row r="70" s="7" customFormat="1"/>
    <row r="71" s="7" customFormat="1"/>
    <row r="72" s="7" customFormat="1"/>
    <row r="73" s="7" customFormat="1"/>
    <row r="74" s="7" customFormat="1"/>
    <row r="75" s="7" customFormat="1"/>
    <row r="76" s="7" customFormat="1"/>
    <row r="77" s="7" customFormat="1"/>
    <row r="78" s="7" customFormat="1"/>
    <row r="79" s="7" customFormat="1"/>
    <row r="80" s="7" customFormat="1"/>
    <row r="81" s="7" customFormat="1"/>
    <row r="82" s="7" customFormat="1"/>
    <row r="83" s="7" customFormat="1"/>
    <row r="84" s="7" customFormat="1"/>
    <row r="85" s="7" customFormat="1"/>
    <row r="86" s="7" customFormat="1"/>
    <row r="87" s="7" customFormat="1"/>
    <row r="88" s="7" customFormat="1"/>
    <row r="89" s="7" customFormat="1"/>
    <row r="90" s="7" customFormat="1"/>
    <row r="91" s="7" customFormat="1"/>
    <row r="92" s="7" customFormat="1"/>
    <row r="93" s="7" customFormat="1"/>
    <row r="94" s="7" customFormat="1"/>
    <row r="95" s="7" customFormat="1"/>
    <row r="96" s="7" customFormat="1"/>
    <row r="97" s="7" customFormat="1"/>
    <row r="98" s="7" customFormat="1"/>
    <row r="99" s="7" customFormat="1"/>
    <row r="100" s="7" customFormat="1"/>
    <row r="101" s="7" customFormat="1"/>
    <row r="102" s="7" customFormat="1"/>
    <row r="103" s="7" customFormat="1"/>
    <row r="104" s="7" customFormat="1"/>
    <row r="105" s="7" customFormat="1"/>
    <row r="106" s="7" customFormat="1"/>
    <row r="107" s="7" customFormat="1"/>
    <row r="108" s="7" customFormat="1"/>
    <row r="109" s="7" customFormat="1"/>
    <row r="110" s="7" customFormat="1"/>
    <row r="111" s="7" customFormat="1"/>
    <row r="112" s="7" customFormat="1"/>
    <row r="113" s="7" customFormat="1"/>
    <row r="114" s="7" customFormat="1"/>
    <row r="115" s="7" customFormat="1"/>
    <row r="116" s="7" customFormat="1"/>
    <row r="117" s="7" customFormat="1"/>
    <row r="118" s="7" customFormat="1"/>
    <row r="119" s="7" customFormat="1"/>
    <row r="120" s="7" customFormat="1"/>
    <row r="121" s="7" customFormat="1"/>
    <row r="122" s="7" customFormat="1"/>
    <row r="123" s="7" customFormat="1"/>
    <row r="124" s="7" customFormat="1"/>
    <row r="125" s="7" customFormat="1"/>
    <row r="126" s="7" customFormat="1"/>
    <row r="127" s="7" customFormat="1"/>
    <row r="128" s="7" customFormat="1"/>
    <row r="129" s="7" customFormat="1"/>
    <row r="130" s="7" customFormat="1"/>
    <row r="131" s="7" customFormat="1"/>
    <row r="132" s="7" customFormat="1"/>
    <row r="133" s="7" customFormat="1"/>
    <row r="134" s="7" customFormat="1"/>
    <row r="135" s="7" customFormat="1"/>
    <row r="136" s="7" customFormat="1"/>
    <row r="137" s="7" customFormat="1"/>
    <row r="138" s="7" customFormat="1"/>
    <row r="139" s="7" customFormat="1"/>
    <row r="140" s="7" customFormat="1"/>
    <row r="141" s="7" customFormat="1"/>
    <row r="142" s="7" customFormat="1"/>
    <row r="143" s="7" customFormat="1"/>
    <row r="144" s="7" customFormat="1"/>
    <row r="145" s="7" customFormat="1"/>
    <row r="146" s="7" customFormat="1"/>
    <row r="147" s="7" customFormat="1"/>
    <row r="148" s="7" customFormat="1"/>
    <row r="149" s="7" customFormat="1"/>
    <row r="150" s="7" customFormat="1"/>
    <row r="151" s="7" customFormat="1"/>
    <row r="152" s="7" customFormat="1"/>
    <row r="153" s="7" customFormat="1"/>
    <row r="154" s="7" customFormat="1"/>
    <row r="155" s="7" customFormat="1"/>
    <row r="156" s="7" customFormat="1"/>
    <row r="157" s="7" customFormat="1"/>
    <row r="158" s="7" customFormat="1"/>
    <row r="159" s="7" customFormat="1"/>
    <row r="160" s="7" customFormat="1"/>
    <row r="161" s="7" customFormat="1"/>
    <row r="162" s="7" customFormat="1"/>
    <row r="163" s="7" customFormat="1"/>
    <row r="164" s="7" customFormat="1"/>
    <row r="165" s="7" customFormat="1"/>
    <row r="166" s="7" customFormat="1"/>
    <row r="167" s="7" customFormat="1"/>
    <row r="168" s="7" customFormat="1"/>
    <row r="169" s="7" customFormat="1"/>
    <row r="170" s="7" customFormat="1"/>
    <row r="171" s="7" customFormat="1"/>
    <row r="172" s="7" customFormat="1"/>
    <row r="173" s="7" customFormat="1"/>
    <row r="174" s="7" customFormat="1"/>
    <row r="175" s="7" customFormat="1"/>
    <row r="176" s="7" customFormat="1"/>
    <row r="177" s="7" customFormat="1"/>
    <row r="178" s="7" customFormat="1"/>
    <row r="179" s="7" customFormat="1"/>
    <row r="180" s="7" customFormat="1"/>
    <row r="181" s="7" customFormat="1"/>
    <row r="182" s="7" customFormat="1"/>
    <row r="183" s="7" customFormat="1"/>
    <row r="184" s="7" customFormat="1"/>
    <row r="185" s="7" customFormat="1"/>
    <row r="186" s="7" customFormat="1"/>
    <row r="187" s="7" customFormat="1"/>
    <row r="188" s="7" customFormat="1"/>
    <row r="189" s="7" customFormat="1"/>
    <row r="190" s="7" customFormat="1"/>
    <row r="191" s="7" customFormat="1"/>
    <row r="192" s="7" customFormat="1"/>
    <row r="193" s="7" customFormat="1"/>
    <row r="194" s="7" customFormat="1"/>
    <row r="195" s="7" customFormat="1"/>
    <row r="196" s="7" customFormat="1"/>
    <row r="197" s="7" customFormat="1"/>
    <row r="198" s="7" customFormat="1"/>
    <row r="199" s="7" customFormat="1"/>
    <row r="200" s="7" customFormat="1"/>
    <row r="201" s="7" customFormat="1"/>
    <row r="202" s="7" customFormat="1"/>
    <row r="203" s="7" customFormat="1"/>
    <row r="204" s="7" customFormat="1"/>
    <row r="205" s="7" customFormat="1"/>
    <row r="206" s="7" customFormat="1"/>
    <row r="207" s="7" customFormat="1"/>
    <row r="208" s="7" customFormat="1"/>
    <row r="209" s="7" customFormat="1"/>
    <row r="210" s="7" customFormat="1"/>
    <row r="211" s="7" customFormat="1"/>
    <row r="212" s="7" customFormat="1"/>
    <row r="213" s="7" customFormat="1"/>
    <row r="214" s="7" customFormat="1"/>
    <row r="215" s="7" customFormat="1"/>
    <row r="216" s="7" customFormat="1"/>
    <row r="217" s="7" customFormat="1"/>
    <row r="218" s="7" customFormat="1"/>
    <row r="219" s="7" customFormat="1"/>
    <row r="220" s="7" customFormat="1"/>
    <row r="221" s="7" customFormat="1"/>
    <row r="222" s="7" customFormat="1"/>
    <row r="223" s="7" customFormat="1"/>
    <row r="224" s="7" customFormat="1"/>
    <row r="225" s="7" customFormat="1"/>
    <row r="226" s="7" customFormat="1"/>
    <row r="227" s="7" customFormat="1"/>
    <row r="228" s="7" customFormat="1"/>
    <row r="229" s="7" customFormat="1"/>
    <row r="230" s="7" customFormat="1"/>
    <row r="231" s="7" customFormat="1"/>
    <row r="232" s="7" customFormat="1"/>
    <row r="233" s="7" customFormat="1"/>
    <row r="234" s="7" customFormat="1"/>
    <row r="235" s="7" customFormat="1"/>
    <row r="236" s="7" customFormat="1"/>
    <row r="237" s="7" customFormat="1"/>
    <row r="238" s="7" customFormat="1"/>
    <row r="239" s="7" customFormat="1"/>
    <row r="240" s="7" customFormat="1"/>
    <row r="241" s="7" customFormat="1"/>
    <row r="242" s="7" customFormat="1"/>
    <row r="243" s="7" customFormat="1"/>
    <row r="244" s="7" customFormat="1"/>
    <row r="245" s="7" customFormat="1"/>
    <row r="246" s="7" customFormat="1"/>
    <row r="247" s="7" customFormat="1"/>
    <row r="248" s="7" customFormat="1"/>
    <row r="249" s="7" customFormat="1"/>
    <row r="250" s="7" customFormat="1"/>
    <row r="251" s="7" customFormat="1"/>
    <row r="252" s="7" customFormat="1"/>
    <row r="253" s="7" customFormat="1"/>
    <row r="254" s="7" customFormat="1"/>
    <row r="255" s="7" customFormat="1"/>
    <row r="256" s="7" customFormat="1"/>
    <row r="257" s="7" customFormat="1"/>
    <row r="258" s="7" customFormat="1"/>
    <row r="259" s="7" customFormat="1"/>
    <row r="260" s="7" customFormat="1"/>
    <row r="261" s="7" customFormat="1"/>
    <row r="262" s="7" customFormat="1"/>
    <row r="263" s="7" customFormat="1"/>
    <row r="264" s="7" customFormat="1"/>
    <row r="265" s="7" customFormat="1"/>
    <row r="266" s="7" customFormat="1"/>
    <row r="267" s="7" customFormat="1"/>
    <row r="268" s="7" customFormat="1"/>
    <row r="269" s="7" customFormat="1"/>
    <row r="270" s="7" customFormat="1"/>
    <row r="271" s="7" customFormat="1"/>
    <row r="272" s="7" customFormat="1"/>
    <row r="273" s="7" customFormat="1"/>
    <row r="274" s="7" customFormat="1"/>
    <row r="275" s="7" customFormat="1"/>
    <row r="276" s="7" customFormat="1"/>
    <row r="277" s="7" customFormat="1"/>
    <row r="278" s="7" customFormat="1"/>
    <row r="279" s="7" customFormat="1"/>
    <row r="280" s="7" customFormat="1"/>
    <row r="281" s="7" customFormat="1"/>
    <row r="282" s="7" customFormat="1"/>
    <row r="283" s="7" customFormat="1"/>
    <row r="284" s="7" customFormat="1"/>
    <row r="285" s="7" customFormat="1"/>
    <row r="286" s="7" customFormat="1"/>
    <row r="287" s="7" customFormat="1"/>
    <row r="288" s="7" customFormat="1"/>
    <row r="289" s="7" customFormat="1"/>
    <row r="290" s="7" customFormat="1"/>
    <row r="291" s="7" customFormat="1"/>
    <row r="292" s="7" customFormat="1"/>
    <row r="293" s="7" customFormat="1"/>
    <row r="294" s="7" customFormat="1"/>
    <row r="295" s="7" customFormat="1"/>
    <row r="296" s="7" customFormat="1"/>
    <row r="297" s="7" customFormat="1"/>
    <row r="298" s="7" customFormat="1"/>
    <row r="299" s="7" customFormat="1"/>
    <row r="300" s="7" customFormat="1"/>
    <row r="301" s="7" customFormat="1"/>
    <row r="302" s="7" customFormat="1"/>
    <row r="303" s="7" customFormat="1"/>
    <row r="304" s="7" customFormat="1"/>
    <row r="305" s="7" customFormat="1"/>
    <row r="306" s="7" customFormat="1"/>
    <row r="307" s="7" customFormat="1"/>
    <row r="308" s="7" customFormat="1"/>
    <row r="309" s="7" customFormat="1"/>
    <row r="310" s="7" customFormat="1"/>
    <row r="311" s="7" customFormat="1"/>
    <row r="312" s="7" customFormat="1"/>
    <row r="313" s="7" customFormat="1"/>
    <row r="314" s="7" customFormat="1"/>
    <row r="315" s="7" customFormat="1"/>
    <row r="316" s="7" customFormat="1"/>
    <row r="317" s="7" customFormat="1"/>
    <row r="318" s="7" customFormat="1"/>
    <row r="319" s="7" customFormat="1"/>
    <row r="320" s="7" customFormat="1"/>
    <row r="321" s="7" customFormat="1"/>
    <row r="322" s="7" customFormat="1"/>
    <row r="323" s="7" customFormat="1"/>
    <row r="324" s="7" customFormat="1"/>
    <row r="325" s="7" customFormat="1"/>
    <row r="326" s="7" customFormat="1"/>
    <row r="327" s="7" customFormat="1"/>
    <row r="328" s="7" customFormat="1"/>
    <row r="329" s="7" customFormat="1"/>
    <row r="330" s="7" customFormat="1"/>
    <row r="331" s="7" customFormat="1"/>
    <row r="332" s="7" customFormat="1"/>
    <row r="333" s="7" customFormat="1"/>
    <row r="334" s="7" customFormat="1"/>
    <row r="335" s="7" customFormat="1"/>
    <row r="336" s="7" customFormat="1"/>
    <row r="337" s="7" customFormat="1"/>
    <row r="338" s="7" customFormat="1"/>
    <row r="339" s="7" customFormat="1"/>
    <row r="340" s="7" customFormat="1"/>
    <row r="341" s="7" customFormat="1"/>
    <row r="342" s="7" customFormat="1"/>
    <row r="343" s="7" customFormat="1"/>
    <row r="344" s="7" customFormat="1"/>
    <row r="345" s="7" customFormat="1"/>
    <row r="346" s="7" customFormat="1"/>
    <row r="347" s="7" customFormat="1"/>
    <row r="348" s="7" customFormat="1"/>
    <row r="349" s="7" customFormat="1"/>
    <row r="350" s="7" customFormat="1"/>
    <row r="351" s="7" customFormat="1"/>
    <row r="352" s="7" customFormat="1"/>
    <row r="353" s="7" customFormat="1"/>
    <row r="354" s="7" customFormat="1"/>
    <row r="355" s="7" customFormat="1"/>
    <row r="356" s="7" customFormat="1"/>
    <row r="357" s="7" customFormat="1"/>
    <row r="358" s="7" customFormat="1"/>
    <row r="359" s="7" customFormat="1"/>
    <row r="360" s="7" customFormat="1"/>
    <row r="361" s="7" customFormat="1"/>
    <row r="362" s="7" customFormat="1"/>
    <row r="363" s="7" customFormat="1"/>
    <row r="364" s="7" customFormat="1"/>
    <row r="365" s="7" customFormat="1"/>
    <row r="366" s="7" customFormat="1"/>
    <row r="367" s="7" customFormat="1"/>
    <row r="368" s="7" customFormat="1"/>
    <row r="369" s="7" customFormat="1"/>
    <row r="370" s="7" customFormat="1"/>
    <row r="371" s="7" customFormat="1"/>
    <row r="372" s="7" customFormat="1"/>
    <row r="373" s="7" customFormat="1"/>
    <row r="374" s="7" customFormat="1"/>
    <row r="375" s="7" customFormat="1"/>
    <row r="376" s="7" customFormat="1"/>
    <row r="377" s="7" customFormat="1"/>
    <row r="378" s="7" customFormat="1"/>
    <row r="379" s="7" customFormat="1"/>
    <row r="380" s="7" customFormat="1"/>
    <row r="381" s="7" customFormat="1"/>
    <row r="382" s="7" customFormat="1"/>
    <row r="383" s="7" customFormat="1"/>
    <row r="384" s="7" customFormat="1"/>
    <row r="385" s="7" customFormat="1"/>
    <row r="386" s="7" customFormat="1"/>
    <row r="387" s="7" customFormat="1"/>
    <row r="388" s="7" customFormat="1"/>
    <row r="389" s="7" customFormat="1"/>
    <row r="390" s="7" customFormat="1"/>
    <row r="391" s="7" customFormat="1"/>
    <row r="392" s="7" customFormat="1"/>
    <row r="393" s="7" customFormat="1"/>
    <row r="394" s="7" customFormat="1"/>
    <row r="395" s="7" customFormat="1"/>
    <row r="396" s="7" customFormat="1"/>
    <row r="397" s="7" customFormat="1"/>
    <row r="398" s="7" customFormat="1"/>
    <row r="399" s="7" customFormat="1"/>
    <row r="400" s="7" customFormat="1"/>
    <row r="401" s="7" customFormat="1"/>
    <row r="402" s="7" customFormat="1"/>
    <row r="403" s="7" customFormat="1"/>
    <row r="404" s="7" customFormat="1"/>
    <row r="405" s="7" customFormat="1"/>
    <row r="406" s="7" customFormat="1"/>
    <row r="407" s="7" customFormat="1"/>
    <row r="408" s="7" customFormat="1"/>
    <row r="409" s="7" customFormat="1"/>
    <row r="410" s="7" customFormat="1"/>
    <row r="411" s="7" customFormat="1"/>
    <row r="412" s="7" customFormat="1"/>
    <row r="413" s="7" customFormat="1"/>
    <row r="414" s="7" customFormat="1"/>
    <row r="415" s="7" customFormat="1"/>
    <row r="416" s="7" customFormat="1"/>
    <row r="417" s="7" customFormat="1"/>
    <row r="418" s="7" customFormat="1"/>
    <row r="419" s="7" customFormat="1"/>
    <row r="420" s="7" customFormat="1"/>
    <row r="421" s="7" customFormat="1"/>
    <row r="422" s="7" customFormat="1"/>
    <row r="423" s="7" customFormat="1"/>
    <row r="424" s="7" customFormat="1"/>
    <row r="425" s="7" customFormat="1"/>
    <row r="426" s="7" customFormat="1"/>
    <row r="427" s="7" customFormat="1"/>
    <row r="428" s="7" customFormat="1"/>
    <row r="429" s="7" customFormat="1"/>
    <row r="430" s="7" customFormat="1"/>
    <row r="431" s="7" customFormat="1"/>
    <row r="432" s="7" customFormat="1"/>
    <row r="433" s="7" customFormat="1"/>
    <row r="434" s="7" customFormat="1"/>
    <row r="435" s="7" customFormat="1"/>
    <row r="436" s="7" customFormat="1"/>
    <row r="437" s="7" customFormat="1"/>
    <row r="438" s="7" customFormat="1"/>
    <row r="439" s="7" customFormat="1"/>
    <row r="440" s="7" customFormat="1"/>
    <row r="441" s="7" customFormat="1"/>
    <row r="442" s="7" customFormat="1"/>
    <row r="443" s="7" customFormat="1"/>
    <row r="444" s="7" customFormat="1"/>
    <row r="445" s="7" customFormat="1"/>
    <row r="446" s="7" customFormat="1"/>
    <row r="447" s="7" customFormat="1"/>
    <row r="448" s="7" customFormat="1"/>
    <row r="449" s="7" customFormat="1"/>
    <row r="450" s="7" customFormat="1"/>
    <row r="451" s="7" customFormat="1"/>
    <row r="452" s="7" customFormat="1"/>
    <row r="453" s="7" customFormat="1"/>
    <row r="454" s="7" customFormat="1"/>
    <row r="455" s="7" customFormat="1"/>
    <row r="456" s="7" customFormat="1"/>
    <row r="457" s="7" customFormat="1"/>
    <row r="458" s="7" customFormat="1"/>
    <row r="459" s="7" customFormat="1"/>
    <row r="460" s="7" customFormat="1"/>
    <row r="461" s="7" customFormat="1"/>
    <row r="462" s="7" customFormat="1"/>
    <row r="463" s="7" customFormat="1"/>
    <row r="464" s="7" customFormat="1"/>
    <row r="465" s="7" customFormat="1"/>
    <row r="466" s="7" customFormat="1"/>
    <row r="467" s="7" customFormat="1"/>
    <row r="468" s="7" customFormat="1"/>
    <row r="469" s="7" customFormat="1"/>
    <row r="470" s="7" customFormat="1"/>
    <row r="471" s="7" customFormat="1"/>
    <row r="472" s="7" customFormat="1"/>
    <row r="473" s="7" customFormat="1"/>
    <row r="474" s="7" customFormat="1"/>
    <row r="475" s="7" customFormat="1"/>
    <row r="476" s="7" customFormat="1"/>
    <row r="477" s="7" customFormat="1"/>
    <row r="478" s="7" customFormat="1"/>
    <row r="479" s="7" customFormat="1"/>
    <row r="480" s="7" customFormat="1"/>
    <row r="481" s="7" customFormat="1"/>
    <row r="482" s="7" customFormat="1"/>
    <row r="483" s="7" customFormat="1"/>
    <row r="484" s="7" customFormat="1"/>
    <row r="485" s="7" customFormat="1"/>
    <row r="486" s="7" customFormat="1"/>
    <row r="487" s="7" customFormat="1"/>
    <row r="488" s="7" customFormat="1"/>
    <row r="489" s="7" customFormat="1"/>
    <row r="490" s="7" customFormat="1"/>
    <row r="491" s="7" customFormat="1"/>
    <row r="492" s="7" customFormat="1"/>
    <row r="493" s="7" customFormat="1"/>
    <row r="494" s="7" customFormat="1"/>
    <row r="495" s="7" customFormat="1"/>
    <row r="496" s="7" customFormat="1"/>
    <row r="497" s="7" customFormat="1"/>
    <row r="498" s="7" customFormat="1"/>
    <row r="499" s="7" customFormat="1"/>
    <row r="500" s="7" customFormat="1"/>
    <row r="501" s="7" customFormat="1"/>
    <row r="502" s="7" customFormat="1"/>
    <row r="503" s="7" customFormat="1"/>
    <row r="504" s="7" customFormat="1"/>
    <row r="505" s="7" customFormat="1"/>
    <row r="506" s="7" customFormat="1"/>
    <row r="507" s="7" customFormat="1"/>
    <row r="508" s="7" customFormat="1"/>
    <row r="509" s="7" customFormat="1"/>
    <row r="510" s="7" customFormat="1"/>
    <row r="511" s="7" customFormat="1"/>
    <row r="512" s="7" customFormat="1"/>
    <row r="513" s="7" customFormat="1"/>
    <row r="514" s="7" customFormat="1"/>
    <row r="515" s="7" customFormat="1"/>
    <row r="516" s="7" customFormat="1"/>
    <row r="517" s="7" customFormat="1"/>
    <row r="518" s="7" customFormat="1"/>
    <row r="519" s="7" customFormat="1"/>
    <row r="520" s="7" customFormat="1"/>
    <row r="521" s="7" customFormat="1"/>
    <row r="522" s="7" customFormat="1"/>
    <row r="523" s="7" customFormat="1"/>
    <row r="524" s="7" customFormat="1"/>
    <row r="525" s="7" customFormat="1"/>
    <row r="526" s="7" customFormat="1"/>
    <row r="527" s="7" customFormat="1"/>
    <row r="528" s="7" customFormat="1"/>
    <row r="529" s="7" customFormat="1"/>
    <row r="530" s="7" customFormat="1"/>
    <row r="531" s="7" customFormat="1"/>
    <row r="532" s="7" customFormat="1"/>
    <row r="533" s="7" customFormat="1"/>
    <row r="534" s="7" customFormat="1"/>
    <row r="535" s="7" customFormat="1"/>
    <row r="536" s="7" customFormat="1"/>
    <row r="537" s="7" customFormat="1"/>
    <row r="538" s="7" customFormat="1"/>
    <row r="539" s="7" customFormat="1"/>
    <row r="540" s="7" customFormat="1"/>
    <row r="541" s="7" customFormat="1"/>
    <row r="542" s="7" customFormat="1"/>
    <row r="543" s="7" customFormat="1"/>
    <row r="544" s="7" customFormat="1"/>
    <row r="545" s="7" customFormat="1"/>
    <row r="546" s="7" customFormat="1"/>
    <row r="547" s="7" customFormat="1"/>
    <row r="548" s="7" customFormat="1"/>
    <row r="549" s="7" customFormat="1"/>
    <row r="550" s="7" customFormat="1"/>
    <row r="551" s="7" customFormat="1"/>
    <row r="552" s="7" customFormat="1"/>
    <row r="553" s="7" customFormat="1"/>
    <row r="554" s="7" customFormat="1"/>
    <row r="555" s="7" customFormat="1"/>
    <row r="556" s="7" customFormat="1"/>
    <row r="557" s="7" customFormat="1"/>
    <row r="558" s="7" customFormat="1"/>
    <row r="559" s="7" customFormat="1"/>
    <row r="560" s="7" customFormat="1"/>
    <row r="561" s="7" customFormat="1"/>
    <row r="562" s="7" customFormat="1"/>
    <row r="563" s="7" customFormat="1"/>
    <row r="564" s="7" customFormat="1"/>
    <row r="565" s="7" customFormat="1"/>
    <row r="566" s="7" customFormat="1"/>
    <row r="567" s="7" customFormat="1"/>
    <row r="568" s="7" customFormat="1"/>
    <row r="569" s="7" customFormat="1"/>
    <row r="570" s="7" customFormat="1"/>
    <row r="571" s="7" customFormat="1"/>
    <row r="572" s="7" customFormat="1"/>
    <row r="573" s="7" customFormat="1"/>
    <row r="574" s="7" customFormat="1"/>
    <row r="575" s="7" customFormat="1"/>
    <row r="576" s="7" customFormat="1"/>
    <row r="577" s="7" customFormat="1"/>
    <row r="578" s="7" customFormat="1"/>
    <row r="579" s="7" customFormat="1"/>
    <row r="580" s="7" customFormat="1"/>
    <row r="581" s="7" customFormat="1"/>
    <row r="582" s="7" customFormat="1"/>
    <row r="583" s="7" customFormat="1"/>
    <row r="584" s="7" customFormat="1"/>
    <row r="585" s="7" customFormat="1"/>
    <row r="586" s="7" customFormat="1"/>
    <row r="587" s="7" customFormat="1"/>
    <row r="588" s="7" customFormat="1"/>
    <row r="589" s="7" customFormat="1"/>
    <row r="590" s="7" customFormat="1"/>
    <row r="591" s="7" customFormat="1"/>
    <row r="592" s="7" customFormat="1"/>
    <row r="593" s="7" customFormat="1"/>
    <row r="594" s="7" customFormat="1"/>
    <row r="595" s="7" customFormat="1"/>
    <row r="596" s="7" customFormat="1"/>
    <row r="597" s="7" customFormat="1"/>
    <row r="598" s="7" customFormat="1"/>
    <row r="599" s="7" customFormat="1"/>
    <row r="600" s="7" customFormat="1"/>
    <row r="601" s="7" customFormat="1"/>
    <row r="602" s="7" customFormat="1"/>
    <row r="603" s="7" customFormat="1"/>
    <row r="604" s="7" customFormat="1"/>
    <row r="605" s="7" customFormat="1"/>
    <row r="606" s="7" customFormat="1"/>
    <row r="607" s="7" customFormat="1"/>
    <row r="608" s="7" customFormat="1"/>
    <row r="609" s="7" customFormat="1"/>
    <row r="610" s="7" customFormat="1"/>
    <row r="611" s="7" customFormat="1"/>
    <row r="612" s="7" customFormat="1"/>
    <row r="613" s="7" customFormat="1"/>
    <row r="614" s="7" customFormat="1"/>
    <row r="615" s="7" customFormat="1"/>
    <row r="616" s="7" customFormat="1"/>
    <row r="617" s="7" customFormat="1"/>
    <row r="618" s="7" customFormat="1"/>
    <row r="619" s="7" customFormat="1"/>
    <row r="620" s="7" customFormat="1"/>
    <row r="621" s="7" customFormat="1"/>
    <row r="622" s="7" customFormat="1"/>
    <row r="623" s="7" customFormat="1"/>
    <row r="624" s="7" customFormat="1"/>
    <row r="625" s="7" customFormat="1"/>
    <row r="626" s="7" customFormat="1"/>
    <row r="627" s="7" customFormat="1"/>
    <row r="628" s="7" customFormat="1"/>
    <row r="629" s="7" customFormat="1"/>
    <row r="630" s="7" customFormat="1"/>
    <row r="631" s="7" customFormat="1"/>
    <row r="632" s="7" customFormat="1"/>
    <row r="633" s="7" customFormat="1"/>
    <row r="634" s="7" customFormat="1"/>
    <row r="635" s="7" customFormat="1"/>
    <row r="636" s="7" customFormat="1"/>
    <row r="637" s="7" customFormat="1"/>
    <row r="638" s="7" customFormat="1"/>
    <row r="639" s="7" customFormat="1"/>
    <row r="640" s="7" customFormat="1"/>
    <row r="641" s="7" customFormat="1"/>
    <row r="642" s="7" customFormat="1"/>
    <row r="643" s="7" customFormat="1"/>
    <row r="644" s="7" customFormat="1"/>
    <row r="645" s="7" customFormat="1"/>
    <row r="646" s="7" customFormat="1"/>
    <row r="647" s="7" customFormat="1"/>
    <row r="648" s="7" customFormat="1"/>
    <row r="649" s="7" customFormat="1"/>
    <row r="650" s="7" customFormat="1"/>
    <row r="651" s="7" customFormat="1"/>
    <row r="652" s="7" customFormat="1"/>
    <row r="653" s="7" customFormat="1"/>
    <row r="654" s="7" customFormat="1"/>
    <row r="655" s="7" customFormat="1"/>
    <row r="656" s="7" customFormat="1"/>
    <row r="657" s="7" customFormat="1"/>
    <row r="658" s="7" customFormat="1"/>
    <row r="659" s="7" customFormat="1"/>
    <row r="660" s="7" customFormat="1"/>
    <row r="661" s="7" customFormat="1"/>
    <row r="662" s="7" customFormat="1"/>
    <row r="663" s="7" customFormat="1"/>
    <row r="664" s="7" customFormat="1"/>
    <row r="665" s="7" customFormat="1"/>
    <row r="666" s="7" customFormat="1"/>
    <row r="667" s="7" customFormat="1"/>
    <row r="668" s="7" customFormat="1"/>
    <row r="669" s="7" customFormat="1"/>
    <row r="670" s="7" customFormat="1"/>
    <row r="671" s="7" customFormat="1"/>
    <row r="672" s="7" customFormat="1"/>
    <row r="673" s="7" customFormat="1"/>
    <row r="674" s="7" customFormat="1"/>
    <row r="675" s="7" customFormat="1"/>
    <row r="676" s="7" customFormat="1"/>
    <row r="677" s="7" customFormat="1"/>
    <row r="678" s="7" customFormat="1"/>
    <row r="679" s="7" customFormat="1"/>
    <row r="680" s="7" customFormat="1"/>
    <row r="681" s="7" customFormat="1"/>
    <row r="682" s="7" customFormat="1"/>
    <row r="683" s="7" customFormat="1"/>
    <row r="684" s="7" customFormat="1"/>
    <row r="685" s="7" customFormat="1"/>
    <row r="686" s="7" customFormat="1"/>
    <row r="687" s="7" customFormat="1"/>
    <row r="688" s="7" customFormat="1"/>
    <row r="689" s="7" customFormat="1"/>
    <row r="690" s="7" customFormat="1"/>
    <row r="691" s="7" customFormat="1"/>
    <row r="692" s="7" customFormat="1"/>
    <row r="693" s="7" customFormat="1"/>
    <row r="694" s="7" customFormat="1"/>
    <row r="695" s="7" customFormat="1"/>
    <row r="696" s="7" customFormat="1"/>
    <row r="697" s="7" customFormat="1"/>
    <row r="698" s="7" customFormat="1"/>
    <row r="699" s="7" customFormat="1"/>
    <row r="700" s="7" customFormat="1"/>
    <row r="701" s="7" customFormat="1"/>
    <row r="702" s="7" customFormat="1"/>
    <row r="703" s="7" customFormat="1"/>
    <row r="704" s="7" customFormat="1"/>
    <row r="705" s="7" customFormat="1"/>
    <row r="706" s="7" customFormat="1"/>
    <row r="707" s="7" customFormat="1"/>
    <row r="708" s="7" customFormat="1"/>
    <row r="709" s="7" customFormat="1"/>
    <row r="710" s="7" customFormat="1"/>
    <row r="711" s="7" customFormat="1"/>
    <row r="712" s="7" customFormat="1"/>
    <row r="713" s="7" customFormat="1"/>
    <row r="714" s="7" customFormat="1"/>
    <row r="715" s="7" customFormat="1"/>
    <row r="716" s="7" customFormat="1"/>
    <row r="717" s="7" customFormat="1"/>
    <row r="718" s="7" customFormat="1"/>
    <row r="719" s="7" customFormat="1"/>
    <row r="720" s="7" customFormat="1"/>
    <row r="721" s="7" customFormat="1"/>
    <row r="722" s="7" customFormat="1"/>
    <row r="723" s="7" customFormat="1"/>
    <row r="724" s="7" customFormat="1"/>
    <row r="725" s="7" customFormat="1"/>
    <row r="726" s="7" customFormat="1"/>
    <row r="727" s="7" customFormat="1"/>
    <row r="728" s="7" customFormat="1"/>
    <row r="729" s="7" customFormat="1"/>
    <row r="730" s="7" customFormat="1"/>
    <row r="731" s="7" customFormat="1"/>
    <row r="732" s="7" customFormat="1"/>
    <row r="733" s="7" customFormat="1"/>
    <row r="734" s="7" customFormat="1"/>
    <row r="735" s="7" customFormat="1"/>
    <row r="736" s="7" customFormat="1"/>
    <row r="737" s="7" customFormat="1"/>
    <row r="738" s="7" customFormat="1"/>
    <row r="739" s="7" customFormat="1"/>
    <row r="740" s="7" customFormat="1"/>
    <row r="741" s="7" customFormat="1"/>
    <row r="742" s="7" customFormat="1"/>
    <row r="743" s="7" customFormat="1"/>
  </sheetData>
  <mergeCells count="14">
    <mergeCell ref="A1:I1"/>
    <mergeCell ref="J1:R1"/>
    <mergeCell ref="B3:I3"/>
    <mergeCell ref="J3:Q3"/>
    <mergeCell ref="B4:I4"/>
    <mergeCell ref="J4:Q4"/>
    <mergeCell ref="A25:I25"/>
    <mergeCell ref="J25:R25"/>
    <mergeCell ref="B5:I5"/>
    <mergeCell ref="J5:Q5"/>
    <mergeCell ref="B6:I6"/>
    <mergeCell ref="J6:Q6"/>
    <mergeCell ref="B7:I7"/>
    <mergeCell ref="J7:Q7"/>
  </mergeCells>
  <dataValidations count="2">
    <dataValidation type="list" sqref="G10:G20" xr:uid="{00000000-0002-0000-0100-000000000000}">
      <formula1>"Not Started,In Progress,Blocked,Complete"</formula1>
    </dataValidation>
    <dataValidation type="list" sqref="D10:D20" xr:uid="{00000000-0002-0000-0100-000001000000}">
      <formula1>"Tonya Coyne,Macameron Clark,Ricky Diaz,Entire Team"</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B0B52-F886-4C60-BA2D-0D0DB7656B8B}">
  <dimension ref="A1:R743"/>
  <sheetViews>
    <sheetView topLeftCell="A10" workbookViewId="0">
      <selection activeCell="G20" sqref="G20"/>
    </sheetView>
  </sheetViews>
  <sheetFormatPr defaultColWidth="9" defaultRowHeight="13.8"/>
  <cols>
    <col min="1" max="1" width="17" style="7" customWidth="1"/>
    <col min="2" max="2" width="13" style="7" customWidth="1"/>
    <col min="3" max="3" width="34" style="7" customWidth="1"/>
    <col min="4" max="4" width="20" style="7" customWidth="1"/>
    <col min="5" max="5" width="15" style="7" customWidth="1"/>
    <col min="6" max="6" width="16" style="7" customWidth="1"/>
    <col min="7" max="7" width="14" style="7" customWidth="1"/>
    <col min="8" max="8" width="42" style="7" customWidth="1"/>
    <col min="9" max="9" width="38" style="7" customWidth="1"/>
    <col min="10" max="10" width="54.19921875" style="13" customWidth="1"/>
    <col min="11" max="18" width="9" style="13"/>
    <col min="19" max="16384" width="9" style="7"/>
  </cols>
  <sheetData>
    <row r="1" spans="1:18" ht="30" customHeight="1">
      <c r="A1" s="42" t="s">
        <v>220</v>
      </c>
      <c r="B1" s="42"/>
      <c r="C1" s="42"/>
      <c r="D1" s="42"/>
      <c r="E1" s="42"/>
      <c r="F1" s="42"/>
      <c r="G1" s="42"/>
      <c r="H1" s="42"/>
      <c r="I1" s="42"/>
      <c r="J1" s="42"/>
      <c r="K1" s="42"/>
      <c r="L1" s="42"/>
      <c r="M1" s="42"/>
      <c r="N1" s="42"/>
      <c r="O1" s="42"/>
      <c r="P1" s="42"/>
      <c r="Q1" s="42"/>
      <c r="R1" s="42"/>
    </row>
    <row r="2" spans="1:18">
      <c r="J2" s="7"/>
      <c r="K2" s="7"/>
      <c r="L2" s="7"/>
      <c r="M2" s="7"/>
      <c r="N2" s="7"/>
      <c r="O2" s="7"/>
      <c r="P2" s="7"/>
      <c r="Q2" s="7"/>
      <c r="R2" s="7"/>
    </row>
    <row r="3" spans="1:18">
      <c r="A3" s="8" t="s">
        <v>1</v>
      </c>
      <c r="B3" s="44" t="s">
        <v>221</v>
      </c>
      <c r="C3" s="45"/>
      <c r="D3" s="45"/>
      <c r="E3" s="45"/>
      <c r="F3" s="45"/>
      <c r="G3" s="45"/>
      <c r="H3" s="45"/>
      <c r="I3" s="45"/>
      <c r="J3" s="46"/>
      <c r="K3" s="45"/>
      <c r="L3" s="45"/>
      <c r="M3" s="45"/>
      <c r="N3" s="45"/>
      <c r="O3" s="45"/>
      <c r="P3" s="45"/>
      <c r="Q3" s="45"/>
      <c r="R3" s="7"/>
    </row>
    <row r="4" spans="1:18">
      <c r="A4" s="8" t="s">
        <v>3</v>
      </c>
      <c r="B4" s="44" t="s">
        <v>222</v>
      </c>
      <c r="C4" s="45"/>
      <c r="D4" s="45"/>
      <c r="E4" s="45"/>
      <c r="F4" s="45"/>
      <c r="G4" s="45"/>
      <c r="H4" s="45"/>
      <c r="I4" s="45"/>
      <c r="J4" s="46"/>
      <c r="K4" s="45"/>
      <c r="L4" s="45"/>
      <c r="M4" s="45"/>
      <c r="N4" s="45"/>
      <c r="O4" s="45"/>
      <c r="P4" s="45"/>
      <c r="Q4" s="45"/>
      <c r="R4" s="7"/>
    </row>
    <row r="5" spans="1:18">
      <c r="A5" s="8" t="s">
        <v>5</v>
      </c>
      <c r="B5" s="44" t="s">
        <v>6</v>
      </c>
      <c r="C5" s="45"/>
      <c r="D5" s="45"/>
      <c r="E5" s="45"/>
      <c r="F5" s="45"/>
      <c r="G5" s="45"/>
      <c r="H5" s="45"/>
      <c r="I5" s="45"/>
      <c r="J5" s="46"/>
      <c r="K5" s="45"/>
      <c r="L5" s="45"/>
      <c r="M5" s="45"/>
      <c r="N5" s="45"/>
      <c r="O5" s="45"/>
      <c r="P5" s="45"/>
      <c r="Q5" s="45"/>
      <c r="R5" s="7"/>
    </row>
    <row r="6" spans="1:18" ht="15" customHeight="1">
      <c r="A6" s="17" t="s">
        <v>90</v>
      </c>
      <c r="B6" s="47"/>
      <c r="C6" s="48"/>
      <c r="D6" s="48"/>
      <c r="E6" s="48"/>
      <c r="F6" s="48"/>
      <c r="G6" s="48"/>
      <c r="H6" s="48"/>
      <c r="I6" s="48"/>
      <c r="J6" s="46"/>
      <c r="K6" s="45"/>
      <c r="L6" s="45"/>
      <c r="M6" s="45"/>
      <c r="N6" s="45"/>
      <c r="O6" s="45"/>
      <c r="P6" s="45"/>
      <c r="Q6" s="45"/>
      <c r="R6" s="7"/>
    </row>
    <row r="7" spans="1:18">
      <c r="A7" s="8" t="s">
        <v>9</v>
      </c>
      <c r="B7" s="44"/>
      <c r="C7" s="45"/>
      <c r="D7" s="45"/>
      <c r="E7" s="45"/>
      <c r="F7" s="45"/>
      <c r="G7" s="45"/>
      <c r="H7" s="45"/>
      <c r="I7" s="45"/>
      <c r="J7" s="46"/>
      <c r="K7" s="45"/>
      <c r="L7" s="45"/>
      <c r="M7" s="45"/>
      <c r="N7" s="45"/>
      <c r="O7" s="45"/>
      <c r="P7" s="45"/>
      <c r="Q7" s="45"/>
      <c r="R7" s="7"/>
    </row>
    <row r="8" spans="1:18">
      <c r="J8" s="7"/>
      <c r="K8" s="7"/>
      <c r="L8" s="7"/>
      <c r="M8" s="7"/>
      <c r="N8" s="7"/>
      <c r="O8" s="7"/>
      <c r="P8" s="7"/>
      <c r="Q8" s="7"/>
      <c r="R8" s="7"/>
    </row>
    <row r="9" spans="1:18" ht="27.6">
      <c r="A9" s="1" t="s">
        <v>11</v>
      </c>
      <c r="B9" s="1" t="s">
        <v>12</v>
      </c>
      <c r="C9" s="1" t="s">
        <v>13</v>
      </c>
      <c r="D9" s="1" t="s">
        <v>14</v>
      </c>
      <c r="E9" s="1" t="s">
        <v>15</v>
      </c>
      <c r="F9" s="1" t="s">
        <v>93</v>
      </c>
      <c r="G9" s="1" t="s">
        <v>17</v>
      </c>
      <c r="H9" s="1" t="s">
        <v>18</v>
      </c>
      <c r="I9" s="11" t="s">
        <v>19</v>
      </c>
      <c r="J9" s="11" t="s">
        <v>20</v>
      </c>
    </row>
    <row r="10" spans="1:18" ht="40.200000000000003" customHeight="1">
      <c r="A10" s="4" t="s">
        <v>21</v>
      </c>
      <c r="B10" s="4" t="s">
        <v>22</v>
      </c>
      <c r="C10" s="4" t="s">
        <v>223</v>
      </c>
      <c r="D10" s="4" t="s">
        <v>36</v>
      </c>
      <c r="E10" s="4">
        <v>1</v>
      </c>
      <c r="F10" s="25">
        <v>1</v>
      </c>
      <c r="G10" s="5" t="s">
        <v>113</v>
      </c>
      <c r="H10" s="4"/>
      <c r="I10" s="12"/>
      <c r="J10" s="15" t="s">
        <v>226</v>
      </c>
    </row>
    <row r="11" spans="1:18" ht="40.200000000000003" customHeight="1">
      <c r="A11" s="4" t="s">
        <v>28</v>
      </c>
      <c r="B11" s="4" t="s">
        <v>29</v>
      </c>
      <c r="C11" s="4" t="s">
        <v>224</v>
      </c>
      <c r="D11" s="4" t="s">
        <v>36</v>
      </c>
      <c r="E11" s="4">
        <v>1</v>
      </c>
      <c r="F11" s="25">
        <v>1</v>
      </c>
      <c r="G11" s="5" t="s">
        <v>113</v>
      </c>
      <c r="H11" s="4"/>
      <c r="I11" s="12"/>
      <c r="J11" s="15"/>
    </row>
    <row r="12" spans="1:18" ht="40.200000000000003" customHeight="1">
      <c r="A12" s="4" t="s">
        <v>33</v>
      </c>
      <c r="B12" s="4" t="s">
        <v>34</v>
      </c>
      <c r="C12" s="4" t="s">
        <v>225</v>
      </c>
      <c r="D12" s="4" t="s">
        <v>36</v>
      </c>
      <c r="E12" s="4">
        <v>1</v>
      </c>
      <c r="F12" s="25">
        <v>1</v>
      </c>
      <c r="G12" s="5" t="s">
        <v>113</v>
      </c>
      <c r="H12" s="4"/>
      <c r="I12" s="12" t="s">
        <v>38</v>
      </c>
      <c r="J12" s="15"/>
    </row>
    <row r="13" spans="1:18" ht="40.200000000000003" customHeight="1">
      <c r="A13" s="4" t="s">
        <v>40</v>
      </c>
      <c r="B13" s="4" t="s">
        <v>41</v>
      </c>
      <c r="C13" s="4"/>
      <c r="D13" s="4"/>
      <c r="E13" s="4"/>
      <c r="F13" s="25">
        <f>SUMIF('Hours Log Week 2'!$C$4:$C$18,A13,'Hours Log Week 2'!$E$4:$E$18)</f>
        <v>1</v>
      </c>
      <c r="G13" s="5" t="s">
        <v>228</v>
      </c>
      <c r="H13" s="4"/>
      <c r="I13" s="12"/>
      <c r="J13" s="15"/>
    </row>
    <row r="14" spans="1:18" ht="40.200000000000003" customHeight="1">
      <c r="A14" s="4" t="s">
        <v>45</v>
      </c>
      <c r="B14" s="4" t="s">
        <v>46</v>
      </c>
      <c r="C14" s="4"/>
      <c r="D14" s="4"/>
      <c r="E14" s="4"/>
      <c r="F14" s="25">
        <f>SUMIF('Hours Log Week 2'!$C$4:$C$18,A14,'Hours Log Week 2'!$E$4:$E$18)</f>
        <v>1.5</v>
      </c>
      <c r="G14" s="5" t="s">
        <v>228</v>
      </c>
      <c r="H14" s="4"/>
      <c r="I14" s="12"/>
      <c r="J14" s="15"/>
    </row>
    <row r="15" spans="1:18" ht="40.200000000000003" customHeight="1">
      <c r="A15" s="4" t="s">
        <v>51</v>
      </c>
      <c r="B15" s="4" t="s">
        <v>52</v>
      </c>
      <c r="C15" s="4"/>
      <c r="D15" s="4"/>
      <c r="E15" s="4"/>
      <c r="F15" s="25">
        <f>SUMIF('Hours Log Week 2'!$C$4:$C$18,A15,'Hours Log Week 2'!$E$4:$E$18)</f>
        <v>1.5</v>
      </c>
      <c r="G15" s="5" t="s">
        <v>228</v>
      </c>
      <c r="H15" s="4"/>
      <c r="I15" s="12"/>
      <c r="J15" s="15"/>
    </row>
    <row r="16" spans="1:18" ht="40.200000000000003" customHeight="1">
      <c r="A16" s="4" t="s">
        <v>56</v>
      </c>
      <c r="B16" s="4" t="s">
        <v>57</v>
      </c>
      <c r="C16" s="4"/>
      <c r="D16" s="4"/>
      <c r="E16" s="4"/>
      <c r="F16" s="25">
        <f>SUMIF('Hours Log Week 2'!$C$4:$C$18,A16,'Hours Log Week 2'!$E$4:$E$18)</f>
        <v>1.5</v>
      </c>
      <c r="G16" s="5" t="s">
        <v>228</v>
      </c>
      <c r="H16" s="4"/>
      <c r="I16" s="12"/>
      <c r="J16" s="15"/>
    </row>
    <row r="17" spans="1:18" ht="40.200000000000003" customHeight="1">
      <c r="A17" s="4" t="s">
        <v>61</v>
      </c>
      <c r="B17" s="4" t="s">
        <v>62</v>
      </c>
      <c r="C17" s="4"/>
      <c r="D17" s="4"/>
      <c r="E17" s="4"/>
      <c r="F17" s="25">
        <f>SUMIF('Hours Log Week 2'!$C$4:$C$18,A17,'Hours Log Week 2'!$E$4:$E$18)</f>
        <v>1.5</v>
      </c>
      <c r="G17" s="5" t="s">
        <v>228</v>
      </c>
      <c r="H17" s="4"/>
      <c r="I17" s="12"/>
      <c r="J17" s="15"/>
    </row>
    <row r="18" spans="1:18" ht="40.200000000000003" customHeight="1">
      <c r="A18" s="4" t="s">
        <v>66</v>
      </c>
      <c r="B18" s="4" t="s">
        <v>67</v>
      </c>
      <c r="C18" s="4"/>
      <c r="D18" s="4"/>
      <c r="E18" s="4"/>
      <c r="F18" s="25">
        <f>SUMIF('Hours Log Week 2'!$C$4:$C$18,A18,'Hours Log Week 2'!$E$4:$E$18)</f>
        <v>1.5</v>
      </c>
      <c r="G18" s="5" t="s">
        <v>228</v>
      </c>
      <c r="H18" s="4"/>
      <c r="I18" s="12"/>
      <c r="J18" s="15"/>
    </row>
    <row r="19" spans="1:18" ht="40.200000000000003" customHeight="1">
      <c r="A19" s="4" t="s">
        <v>71</v>
      </c>
      <c r="B19" s="4" t="s">
        <v>72</v>
      </c>
      <c r="C19" s="4"/>
      <c r="D19" s="4"/>
      <c r="E19" s="4"/>
      <c r="F19" s="25">
        <f>SUMIF('Hours Log Week 2'!$C$4:$C$18,A19,'Hours Log Week 2'!$E$4:$E$18)</f>
        <v>4</v>
      </c>
      <c r="G19" s="5" t="s">
        <v>228</v>
      </c>
      <c r="H19" s="4"/>
      <c r="I19" s="12"/>
      <c r="J19" s="15"/>
    </row>
    <row r="20" spans="1:18" ht="40.200000000000003" customHeight="1">
      <c r="A20" s="4" t="s">
        <v>77</v>
      </c>
      <c r="B20" s="4" t="s">
        <v>78</v>
      </c>
      <c r="C20" s="4"/>
      <c r="D20" s="4"/>
      <c r="E20" s="4"/>
      <c r="F20" s="25">
        <f>SUMIF('Hours Log Week 2'!$C$4:$C$18,A20,'Hours Log Week 2'!$E$4:$E$18)</f>
        <v>3</v>
      </c>
      <c r="G20" s="5" t="s">
        <v>228</v>
      </c>
      <c r="H20" s="4"/>
      <c r="I20" s="12"/>
      <c r="J20" s="15"/>
    </row>
    <row r="21" spans="1:18">
      <c r="J21" s="7"/>
      <c r="K21" s="7"/>
      <c r="L21" s="7"/>
      <c r="M21" s="7"/>
      <c r="N21" s="7"/>
      <c r="O21" s="7"/>
      <c r="P21" s="7"/>
      <c r="Q21" s="7"/>
      <c r="R21" s="7"/>
    </row>
    <row r="22" spans="1:18" ht="27.6">
      <c r="A22" s="1" t="s">
        <v>82</v>
      </c>
      <c r="B22" s="1" t="s">
        <v>83</v>
      </c>
      <c r="C22" s="1" t="s">
        <v>84</v>
      </c>
      <c r="D22" s="1" t="s">
        <v>85</v>
      </c>
      <c r="J22" s="7"/>
      <c r="K22" s="7"/>
      <c r="L22" s="7"/>
      <c r="M22" s="7"/>
      <c r="N22" s="7"/>
      <c r="O22" s="7"/>
      <c r="P22" s="7"/>
      <c r="Q22" s="7"/>
      <c r="R22" s="7"/>
    </row>
    <row r="23" spans="1:18">
      <c r="A23" s="3" t="s">
        <v>116</v>
      </c>
      <c r="B23" s="9">
        <f>SUM(E10:E20)</f>
        <v>3</v>
      </c>
      <c r="C23" s="9">
        <f>SUM(F10:F20)</f>
        <v>18.5</v>
      </c>
      <c r="D23" s="10">
        <f>COUNTIF(G10:G20,"Complete")/COUNTA(A10:A20)</f>
        <v>0</v>
      </c>
      <c r="J23" s="7"/>
      <c r="K23" s="7"/>
      <c r="L23" s="7"/>
      <c r="M23" s="7"/>
      <c r="N23" s="7"/>
      <c r="O23" s="7"/>
      <c r="P23" s="7"/>
      <c r="Q23" s="7"/>
      <c r="R23" s="7"/>
    </row>
    <row r="24" spans="1:18">
      <c r="J24" s="7"/>
      <c r="K24" s="7"/>
      <c r="L24" s="7"/>
      <c r="M24" s="7"/>
      <c r="N24" s="7"/>
      <c r="O24" s="7"/>
      <c r="P24" s="7"/>
      <c r="Q24" s="7"/>
      <c r="R24" s="7"/>
    </row>
    <row r="25" spans="1:18" ht="14.4">
      <c r="A25" s="43" t="s">
        <v>227</v>
      </c>
      <c r="B25" s="43"/>
      <c r="C25" s="43"/>
      <c r="D25" s="43"/>
      <c r="E25" s="43"/>
      <c r="F25" s="43"/>
      <c r="G25" s="43"/>
      <c r="H25" s="43"/>
      <c r="I25" s="43"/>
      <c r="J25" s="43"/>
      <c r="K25" s="43"/>
      <c r="L25" s="43"/>
      <c r="M25" s="43"/>
      <c r="N25" s="43"/>
      <c r="O25" s="43"/>
      <c r="P25" s="43"/>
      <c r="Q25" s="43"/>
      <c r="R25" s="43"/>
    </row>
    <row r="26" spans="1:18">
      <c r="J26" s="7"/>
      <c r="K26" s="7"/>
      <c r="L26" s="7"/>
      <c r="M26" s="7"/>
      <c r="N26" s="7"/>
      <c r="O26" s="7"/>
      <c r="P26" s="7"/>
      <c r="Q26" s="7"/>
      <c r="R26" s="7"/>
    </row>
    <row r="27" spans="1:18">
      <c r="J27" s="7"/>
      <c r="K27" s="7"/>
      <c r="L27" s="7"/>
      <c r="M27" s="7"/>
      <c r="N27" s="7"/>
      <c r="O27" s="7"/>
      <c r="P27" s="7"/>
      <c r="Q27" s="7"/>
      <c r="R27" s="7"/>
    </row>
    <row r="28" spans="1:18">
      <c r="J28" s="7"/>
      <c r="K28" s="7"/>
      <c r="L28" s="7"/>
      <c r="M28" s="7"/>
      <c r="N28" s="7"/>
      <c r="O28" s="7"/>
      <c r="P28" s="7"/>
      <c r="Q28" s="7"/>
      <c r="R28" s="7"/>
    </row>
    <row r="29" spans="1:18">
      <c r="J29" s="7"/>
      <c r="K29" s="7"/>
      <c r="L29" s="7"/>
      <c r="M29" s="7"/>
      <c r="N29" s="7"/>
      <c r="O29" s="7"/>
      <c r="P29" s="7"/>
      <c r="Q29" s="7"/>
      <c r="R29" s="7"/>
    </row>
    <row r="30" spans="1:18">
      <c r="J30" s="7"/>
      <c r="K30" s="7"/>
      <c r="L30" s="7"/>
      <c r="M30" s="7"/>
      <c r="N30" s="7"/>
      <c r="O30" s="7"/>
      <c r="P30" s="7"/>
      <c r="Q30" s="7"/>
      <c r="R30" s="7"/>
    </row>
    <row r="31" spans="1:18">
      <c r="J31" s="7"/>
      <c r="K31" s="7"/>
      <c r="L31" s="7"/>
      <c r="M31" s="7"/>
      <c r="N31" s="7"/>
      <c r="O31" s="7"/>
      <c r="P31" s="7"/>
      <c r="Q31" s="7"/>
      <c r="R31" s="7"/>
    </row>
    <row r="32" spans="1:18">
      <c r="J32" s="7"/>
      <c r="K32" s="7"/>
      <c r="L32" s="7"/>
      <c r="M32" s="7"/>
      <c r="N32" s="7"/>
      <c r="O32" s="7"/>
      <c r="P32" s="7"/>
      <c r="Q32" s="7"/>
      <c r="R32" s="7"/>
    </row>
    <row r="33" s="7" customFormat="1"/>
    <row r="34" s="7" customFormat="1"/>
    <row r="35" s="7" customFormat="1"/>
    <row r="36" s="7" customFormat="1"/>
    <row r="37" s="7" customFormat="1"/>
    <row r="38" s="7" customFormat="1"/>
    <row r="39" s="7" customFormat="1"/>
    <row r="40" s="7" customFormat="1"/>
    <row r="41" s="7" customFormat="1"/>
    <row r="42" s="7" customFormat="1"/>
    <row r="43" s="7" customFormat="1"/>
    <row r="44" s="7" customFormat="1"/>
    <row r="45" s="7" customFormat="1"/>
    <row r="46" s="7" customFormat="1"/>
    <row r="47" s="7" customFormat="1"/>
    <row r="48" s="7" customFormat="1"/>
    <row r="49" s="7" customFormat="1"/>
    <row r="50" s="7" customFormat="1"/>
    <row r="51" s="7" customFormat="1"/>
    <row r="52" s="7" customFormat="1"/>
    <row r="53" s="7" customFormat="1"/>
    <row r="54" s="7" customFormat="1"/>
    <row r="55" s="7" customFormat="1"/>
    <row r="56" s="7" customFormat="1"/>
    <row r="57" s="7" customFormat="1"/>
    <row r="58" s="7" customFormat="1"/>
    <row r="59" s="7" customFormat="1"/>
    <row r="60" s="7" customFormat="1"/>
    <row r="61" s="7" customFormat="1"/>
    <row r="62" s="7" customFormat="1"/>
    <row r="63" s="7" customFormat="1"/>
    <row r="64" s="7" customFormat="1"/>
    <row r="65" s="7" customFormat="1"/>
    <row r="66" s="7" customFormat="1"/>
    <row r="67" s="7" customFormat="1"/>
    <row r="68" s="7" customFormat="1"/>
    <row r="69" s="7" customFormat="1"/>
    <row r="70" s="7" customFormat="1"/>
    <row r="71" s="7" customFormat="1"/>
    <row r="72" s="7" customFormat="1"/>
    <row r="73" s="7" customFormat="1"/>
    <row r="74" s="7" customFormat="1"/>
    <row r="75" s="7" customFormat="1"/>
    <row r="76" s="7" customFormat="1"/>
    <row r="77" s="7" customFormat="1"/>
    <row r="78" s="7" customFormat="1"/>
    <row r="79" s="7" customFormat="1"/>
    <row r="80" s="7" customFormat="1"/>
    <row r="81" s="7" customFormat="1"/>
    <row r="82" s="7" customFormat="1"/>
    <row r="83" s="7" customFormat="1"/>
    <row r="84" s="7" customFormat="1"/>
    <row r="85" s="7" customFormat="1"/>
    <row r="86" s="7" customFormat="1"/>
    <row r="87" s="7" customFormat="1"/>
    <row r="88" s="7" customFormat="1"/>
    <row r="89" s="7" customFormat="1"/>
    <row r="90" s="7" customFormat="1"/>
    <row r="91" s="7" customFormat="1"/>
    <row r="92" s="7" customFormat="1"/>
    <row r="93" s="7" customFormat="1"/>
    <row r="94" s="7" customFormat="1"/>
    <row r="95" s="7" customFormat="1"/>
    <row r="96" s="7" customFormat="1"/>
    <row r="97" s="7" customFormat="1"/>
    <row r="98" s="7" customFormat="1"/>
    <row r="99" s="7" customFormat="1"/>
    <row r="100" s="7" customFormat="1"/>
    <row r="101" s="7" customFormat="1"/>
    <row r="102" s="7" customFormat="1"/>
    <row r="103" s="7" customFormat="1"/>
    <row r="104" s="7" customFormat="1"/>
    <row r="105" s="7" customFormat="1"/>
    <row r="106" s="7" customFormat="1"/>
    <row r="107" s="7" customFormat="1"/>
    <row r="108" s="7" customFormat="1"/>
    <row r="109" s="7" customFormat="1"/>
    <row r="110" s="7" customFormat="1"/>
    <row r="111" s="7" customFormat="1"/>
    <row r="112" s="7" customFormat="1"/>
    <row r="113" s="7" customFormat="1"/>
    <row r="114" s="7" customFormat="1"/>
    <row r="115" s="7" customFormat="1"/>
    <row r="116" s="7" customFormat="1"/>
    <row r="117" s="7" customFormat="1"/>
    <row r="118" s="7" customFormat="1"/>
    <row r="119" s="7" customFormat="1"/>
    <row r="120" s="7" customFormat="1"/>
    <row r="121" s="7" customFormat="1"/>
    <row r="122" s="7" customFormat="1"/>
    <row r="123" s="7" customFormat="1"/>
    <row r="124" s="7" customFormat="1"/>
    <row r="125" s="7" customFormat="1"/>
    <row r="126" s="7" customFormat="1"/>
    <row r="127" s="7" customFormat="1"/>
    <row r="128" s="7" customFormat="1"/>
    <row r="129" s="7" customFormat="1"/>
    <row r="130" s="7" customFormat="1"/>
    <row r="131" s="7" customFormat="1"/>
    <row r="132" s="7" customFormat="1"/>
    <row r="133" s="7" customFormat="1"/>
    <row r="134" s="7" customFormat="1"/>
    <row r="135" s="7" customFormat="1"/>
    <row r="136" s="7" customFormat="1"/>
    <row r="137" s="7" customFormat="1"/>
    <row r="138" s="7" customFormat="1"/>
    <row r="139" s="7" customFormat="1"/>
    <row r="140" s="7" customFormat="1"/>
    <row r="141" s="7" customFormat="1"/>
    <row r="142" s="7" customFormat="1"/>
    <row r="143" s="7" customFormat="1"/>
    <row r="144" s="7" customFormat="1"/>
    <row r="145" s="7" customFormat="1"/>
    <row r="146" s="7" customFormat="1"/>
    <row r="147" s="7" customFormat="1"/>
    <row r="148" s="7" customFormat="1"/>
    <row r="149" s="7" customFormat="1"/>
    <row r="150" s="7" customFormat="1"/>
    <row r="151" s="7" customFormat="1"/>
    <row r="152" s="7" customFormat="1"/>
    <row r="153" s="7" customFormat="1"/>
    <row r="154" s="7" customFormat="1"/>
    <row r="155" s="7" customFormat="1"/>
    <row r="156" s="7" customFormat="1"/>
    <row r="157" s="7" customFormat="1"/>
    <row r="158" s="7" customFormat="1"/>
    <row r="159" s="7" customFormat="1"/>
    <row r="160" s="7" customFormat="1"/>
    <row r="161" s="7" customFormat="1"/>
    <row r="162" s="7" customFormat="1"/>
    <row r="163" s="7" customFormat="1"/>
    <row r="164" s="7" customFormat="1"/>
    <row r="165" s="7" customFormat="1"/>
    <row r="166" s="7" customFormat="1"/>
    <row r="167" s="7" customFormat="1"/>
    <row r="168" s="7" customFormat="1"/>
    <row r="169" s="7" customFormat="1"/>
    <row r="170" s="7" customFormat="1"/>
    <row r="171" s="7" customFormat="1"/>
    <row r="172" s="7" customFormat="1"/>
    <row r="173" s="7" customFormat="1"/>
    <row r="174" s="7" customFormat="1"/>
    <row r="175" s="7" customFormat="1"/>
    <row r="176" s="7" customFormat="1"/>
    <row r="177" s="7" customFormat="1"/>
    <row r="178" s="7" customFormat="1"/>
    <row r="179" s="7" customFormat="1"/>
    <row r="180" s="7" customFormat="1"/>
    <row r="181" s="7" customFormat="1"/>
    <row r="182" s="7" customFormat="1"/>
    <row r="183" s="7" customFormat="1"/>
    <row r="184" s="7" customFormat="1"/>
    <row r="185" s="7" customFormat="1"/>
    <row r="186" s="7" customFormat="1"/>
    <row r="187" s="7" customFormat="1"/>
    <row r="188" s="7" customFormat="1"/>
    <row r="189" s="7" customFormat="1"/>
    <row r="190" s="7" customFormat="1"/>
    <row r="191" s="7" customFormat="1"/>
    <row r="192" s="7" customFormat="1"/>
    <row r="193" s="7" customFormat="1"/>
    <row r="194" s="7" customFormat="1"/>
    <row r="195" s="7" customFormat="1"/>
    <row r="196" s="7" customFormat="1"/>
    <row r="197" s="7" customFormat="1"/>
    <row r="198" s="7" customFormat="1"/>
    <row r="199" s="7" customFormat="1"/>
    <row r="200" s="7" customFormat="1"/>
    <row r="201" s="7" customFormat="1"/>
    <row r="202" s="7" customFormat="1"/>
    <row r="203" s="7" customFormat="1"/>
    <row r="204" s="7" customFormat="1"/>
    <row r="205" s="7" customFormat="1"/>
    <row r="206" s="7" customFormat="1"/>
    <row r="207" s="7" customFormat="1"/>
    <row r="208" s="7" customFormat="1"/>
    <row r="209" s="7" customFormat="1"/>
    <row r="210" s="7" customFormat="1"/>
    <row r="211" s="7" customFormat="1"/>
    <row r="212" s="7" customFormat="1"/>
    <row r="213" s="7" customFormat="1"/>
    <row r="214" s="7" customFormat="1"/>
    <row r="215" s="7" customFormat="1"/>
    <row r="216" s="7" customFormat="1"/>
    <row r="217" s="7" customFormat="1"/>
    <row r="218" s="7" customFormat="1"/>
    <row r="219" s="7" customFormat="1"/>
    <row r="220" s="7" customFormat="1"/>
    <row r="221" s="7" customFormat="1"/>
    <row r="222" s="7" customFormat="1"/>
    <row r="223" s="7" customFormat="1"/>
    <row r="224" s="7" customFormat="1"/>
    <row r="225" s="7" customFormat="1"/>
    <row r="226" s="7" customFormat="1"/>
    <row r="227" s="7" customFormat="1"/>
    <row r="228" s="7" customFormat="1"/>
    <row r="229" s="7" customFormat="1"/>
    <row r="230" s="7" customFormat="1"/>
    <row r="231" s="7" customFormat="1"/>
    <row r="232" s="7" customFormat="1"/>
    <row r="233" s="7" customFormat="1"/>
    <row r="234" s="7" customFormat="1"/>
    <row r="235" s="7" customFormat="1"/>
    <row r="236" s="7" customFormat="1"/>
    <row r="237" s="7" customFormat="1"/>
    <row r="238" s="7" customFormat="1"/>
    <row r="239" s="7" customFormat="1"/>
    <row r="240" s="7" customFormat="1"/>
    <row r="241" s="7" customFormat="1"/>
    <row r="242" s="7" customFormat="1"/>
    <row r="243" s="7" customFormat="1"/>
    <row r="244" s="7" customFormat="1"/>
    <row r="245" s="7" customFormat="1"/>
    <row r="246" s="7" customFormat="1"/>
    <row r="247" s="7" customFormat="1"/>
    <row r="248" s="7" customFormat="1"/>
    <row r="249" s="7" customFormat="1"/>
    <row r="250" s="7" customFormat="1"/>
    <row r="251" s="7" customFormat="1"/>
    <row r="252" s="7" customFormat="1"/>
    <row r="253" s="7" customFormat="1"/>
    <row r="254" s="7" customFormat="1"/>
    <row r="255" s="7" customFormat="1"/>
    <row r="256" s="7" customFormat="1"/>
    <row r="257" s="7" customFormat="1"/>
    <row r="258" s="7" customFormat="1"/>
    <row r="259" s="7" customFormat="1"/>
    <row r="260" s="7" customFormat="1"/>
    <row r="261" s="7" customFormat="1"/>
    <row r="262" s="7" customFormat="1"/>
    <row r="263" s="7" customFormat="1"/>
    <row r="264" s="7" customFormat="1"/>
    <row r="265" s="7" customFormat="1"/>
    <row r="266" s="7" customFormat="1"/>
    <row r="267" s="7" customFormat="1"/>
    <row r="268" s="7" customFormat="1"/>
    <row r="269" s="7" customFormat="1"/>
    <row r="270" s="7" customFormat="1"/>
    <row r="271" s="7" customFormat="1"/>
    <row r="272" s="7" customFormat="1"/>
    <row r="273" s="7" customFormat="1"/>
    <row r="274" s="7" customFormat="1"/>
    <row r="275" s="7" customFormat="1"/>
    <row r="276" s="7" customFormat="1"/>
    <row r="277" s="7" customFormat="1"/>
    <row r="278" s="7" customFormat="1"/>
    <row r="279" s="7" customFormat="1"/>
    <row r="280" s="7" customFormat="1"/>
    <row r="281" s="7" customFormat="1"/>
    <row r="282" s="7" customFormat="1"/>
    <row r="283" s="7" customFormat="1"/>
    <row r="284" s="7" customFormat="1"/>
    <row r="285" s="7" customFormat="1"/>
    <row r="286" s="7" customFormat="1"/>
    <row r="287" s="7" customFormat="1"/>
    <row r="288" s="7" customFormat="1"/>
    <row r="289" s="7" customFormat="1"/>
    <row r="290" s="7" customFormat="1"/>
    <row r="291" s="7" customFormat="1"/>
    <row r="292" s="7" customFormat="1"/>
    <row r="293" s="7" customFormat="1"/>
    <row r="294" s="7" customFormat="1"/>
    <row r="295" s="7" customFormat="1"/>
    <row r="296" s="7" customFormat="1"/>
    <row r="297" s="7" customFormat="1"/>
    <row r="298" s="7" customFormat="1"/>
    <row r="299" s="7" customFormat="1"/>
    <row r="300" s="7" customFormat="1"/>
    <row r="301" s="7" customFormat="1"/>
    <row r="302" s="7" customFormat="1"/>
    <row r="303" s="7" customFormat="1"/>
    <row r="304" s="7" customFormat="1"/>
    <row r="305" s="7" customFormat="1"/>
    <row r="306" s="7" customFormat="1"/>
    <row r="307" s="7" customFormat="1"/>
    <row r="308" s="7" customFormat="1"/>
    <row r="309" s="7" customFormat="1"/>
    <row r="310" s="7" customFormat="1"/>
    <row r="311" s="7" customFormat="1"/>
    <row r="312" s="7" customFormat="1"/>
    <row r="313" s="7" customFormat="1"/>
    <row r="314" s="7" customFormat="1"/>
    <row r="315" s="7" customFormat="1"/>
    <row r="316" s="7" customFormat="1"/>
    <row r="317" s="7" customFormat="1"/>
    <row r="318" s="7" customFormat="1"/>
    <row r="319" s="7" customFormat="1"/>
    <row r="320" s="7" customFormat="1"/>
    <row r="321" s="7" customFormat="1"/>
    <row r="322" s="7" customFormat="1"/>
    <row r="323" s="7" customFormat="1"/>
    <row r="324" s="7" customFormat="1"/>
    <row r="325" s="7" customFormat="1"/>
    <row r="326" s="7" customFormat="1"/>
    <row r="327" s="7" customFormat="1"/>
    <row r="328" s="7" customFormat="1"/>
    <row r="329" s="7" customFormat="1"/>
    <row r="330" s="7" customFormat="1"/>
    <row r="331" s="7" customFormat="1"/>
    <row r="332" s="7" customFormat="1"/>
    <row r="333" s="7" customFormat="1"/>
    <row r="334" s="7" customFormat="1"/>
    <row r="335" s="7" customFormat="1"/>
    <row r="336" s="7" customFormat="1"/>
    <row r="337" s="7" customFormat="1"/>
    <row r="338" s="7" customFormat="1"/>
    <row r="339" s="7" customFormat="1"/>
    <row r="340" s="7" customFormat="1"/>
    <row r="341" s="7" customFormat="1"/>
    <row r="342" s="7" customFormat="1"/>
    <row r="343" s="7" customFormat="1"/>
    <row r="344" s="7" customFormat="1"/>
    <row r="345" s="7" customFormat="1"/>
    <row r="346" s="7" customFormat="1"/>
    <row r="347" s="7" customFormat="1"/>
    <row r="348" s="7" customFormat="1"/>
    <row r="349" s="7" customFormat="1"/>
    <row r="350" s="7" customFormat="1"/>
    <row r="351" s="7" customFormat="1"/>
    <row r="352" s="7" customFormat="1"/>
    <row r="353" s="7" customFormat="1"/>
    <row r="354" s="7" customFormat="1"/>
    <row r="355" s="7" customFormat="1"/>
    <row r="356" s="7" customFormat="1"/>
    <row r="357" s="7" customFormat="1"/>
    <row r="358" s="7" customFormat="1"/>
    <row r="359" s="7" customFormat="1"/>
    <row r="360" s="7" customFormat="1"/>
    <row r="361" s="7" customFormat="1"/>
    <row r="362" s="7" customFormat="1"/>
    <row r="363" s="7" customFormat="1"/>
    <row r="364" s="7" customFormat="1"/>
    <row r="365" s="7" customFormat="1"/>
    <row r="366" s="7" customFormat="1"/>
    <row r="367" s="7" customFormat="1"/>
    <row r="368" s="7" customFormat="1"/>
    <row r="369" s="7" customFormat="1"/>
    <row r="370" s="7" customFormat="1"/>
    <row r="371" s="7" customFormat="1"/>
    <row r="372" s="7" customFormat="1"/>
    <row r="373" s="7" customFormat="1"/>
    <row r="374" s="7" customFormat="1"/>
    <row r="375" s="7" customFormat="1"/>
    <row r="376" s="7" customFormat="1"/>
    <row r="377" s="7" customFormat="1"/>
    <row r="378" s="7" customFormat="1"/>
    <row r="379" s="7" customFormat="1"/>
    <row r="380" s="7" customFormat="1"/>
    <row r="381" s="7" customFormat="1"/>
    <row r="382" s="7" customFormat="1"/>
    <row r="383" s="7" customFormat="1"/>
    <row r="384" s="7" customFormat="1"/>
    <row r="385" s="7" customFormat="1"/>
    <row r="386" s="7" customFormat="1"/>
    <row r="387" s="7" customFormat="1"/>
    <row r="388" s="7" customFormat="1"/>
    <row r="389" s="7" customFormat="1"/>
    <row r="390" s="7" customFormat="1"/>
    <row r="391" s="7" customFormat="1"/>
    <row r="392" s="7" customFormat="1"/>
    <row r="393" s="7" customFormat="1"/>
    <row r="394" s="7" customFormat="1"/>
    <row r="395" s="7" customFormat="1"/>
    <row r="396" s="7" customFormat="1"/>
    <row r="397" s="7" customFormat="1"/>
    <row r="398" s="7" customFormat="1"/>
    <row r="399" s="7" customFormat="1"/>
    <row r="400" s="7" customFormat="1"/>
    <row r="401" s="7" customFormat="1"/>
    <row r="402" s="7" customFormat="1"/>
    <row r="403" s="7" customFormat="1"/>
    <row r="404" s="7" customFormat="1"/>
    <row r="405" s="7" customFormat="1"/>
    <row r="406" s="7" customFormat="1"/>
    <row r="407" s="7" customFormat="1"/>
    <row r="408" s="7" customFormat="1"/>
    <row r="409" s="7" customFormat="1"/>
    <row r="410" s="7" customFormat="1"/>
    <row r="411" s="7" customFormat="1"/>
    <row r="412" s="7" customFormat="1"/>
    <row r="413" s="7" customFormat="1"/>
    <row r="414" s="7" customFormat="1"/>
    <row r="415" s="7" customFormat="1"/>
    <row r="416" s="7" customFormat="1"/>
    <row r="417" s="7" customFormat="1"/>
    <row r="418" s="7" customFormat="1"/>
    <row r="419" s="7" customFormat="1"/>
    <row r="420" s="7" customFormat="1"/>
    <row r="421" s="7" customFormat="1"/>
    <row r="422" s="7" customFormat="1"/>
    <row r="423" s="7" customFormat="1"/>
    <row r="424" s="7" customFormat="1"/>
    <row r="425" s="7" customFormat="1"/>
    <row r="426" s="7" customFormat="1"/>
    <row r="427" s="7" customFormat="1"/>
    <row r="428" s="7" customFormat="1"/>
    <row r="429" s="7" customFormat="1"/>
    <row r="430" s="7" customFormat="1"/>
    <row r="431" s="7" customFormat="1"/>
    <row r="432" s="7" customFormat="1"/>
    <row r="433" s="7" customFormat="1"/>
    <row r="434" s="7" customFormat="1"/>
    <row r="435" s="7" customFormat="1"/>
    <row r="436" s="7" customFormat="1"/>
    <row r="437" s="7" customFormat="1"/>
    <row r="438" s="7" customFormat="1"/>
    <row r="439" s="7" customFormat="1"/>
    <row r="440" s="7" customFormat="1"/>
    <row r="441" s="7" customFormat="1"/>
    <row r="442" s="7" customFormat="1"/>
    <row r="443" s="7" customFormat="1"/>
    <row r="444" s="7" customFormat="1"/>
    <row r="445" s="7" customFormat="1"/>
    <row r="446" s="7" customFormat="1"/>
    <row r="447" s="7" customFormat="1"/>
    <row r="448" s="7" customFormat="1"/>
    <row r="449" s="7" customFormat="1"/>
    <row r="450" s="7" customFormat="1"/>
    <row r="451" s="7" customFormat="1"/>
    <row r="452" s="7" customFormat="1"/>
    <row r="453" s="7" customFormat="1"/>
    <row r="454" s="7" customFormat="1"/>
    <row r="455" s="7" customFormat="1"/>
    <row r="456" s="7" customFormat="1"/>
    <row r="457" s="7" customFormat="1"/>
    <row r="458" s="7" customFormat="1"/>
    <row r="459" s="7" customFormat="1"/>
    <row r="460" s="7" customFormat="1"/>
    <row r="461" s="7" customFormat="1"/>
    <row r="462" s="7" customFormat="1"/>
    <row r="463" s="7" customFormat="1"/>
    <row r="464" s="7" customFormat="1"/>
    <row r="465" s="7" customFormat="1"/>
    <row r="466" s="7" customFormat="1"/>
    <row r="467" s="7" customFormat="1"/>
    <row r="468" s="7" customFormat="1"/>
    <row r="469" s="7" customFormat="1"/>
    <row r="470" s="7" customFormat="1"/>
    <row r="471" s="7" customFormat="1"/>
    <row r="472" s="7" customFormat="1"/>
    <row r="473" s="7" customFormat="1"/>
    <row r="474" s="7" customFormat="1"/>
    <row r="475" s="7" customFormat="1"/>
    <row r="476" s="7" customFormat="1"/>
    <row r="477" s="7" customFormat="1"/>
    <row r="478" s="7" customFormat="1"/>
    <row r="479" s="7" customFormat="1"/>
    <row r="480" s="7" customFormat="1"/>
    <row r="481" s="7" customFormat="1"/>
    <row r="482" s="7" customFormat="1"/>
    <row r="483" s="7" customFormat="1"/>
    <row r="484" s="7" customFormat="1"/>
    <row r="485" s="7" customFormat="1"/>
    <row r="486" s="7" customFormat="1"/>
    <row r="487" s="7" customFormat="1"/>
    <row r="488" s="7" customFormat="1"/>
    <row r="489" s="7" customFormat="1"/>
    <row r="490" s="7" customFormat="1"/>
    <row r="491" s="7" customFormat="1"/>
    <row r="492" s="7" customFormat="1"/>
    <row r="493" s="7" customFormat="1"/>
    <row r="494" s="7" customFormat="1"/>
    <row r="495" s="7" customFormat="1"/>
    <row r="496" s="7" customFormat="1"/>
    <row r="497" s="7" customFormat="1"/>
    <row r="498" s="7" customFormat="1"/>
    <row r="499" s="7" customFormat="1"/>
    <row r="500" s="7" customFormat="1"/>
    <row r="501" s="7" customFormat="1"/>
    <row r="502" s="7" customFormat="1"/>
    <row r="503" s="7" customFormat="1"/>
    <row r="504" s="7" customFormat="1"/>
    <row r="505" s="7" customFormat="1"/>
    <row r="506" s="7" customFormat="1"/>
    <row r="507" s="7" customFormat="1"/>
    <row r="508" s="7" customFormat="1"/>
    <row r="509" s="7" customFormat="1"/>
    <row r="510" s="7" customFormat="1"/>
    <row r="511" s="7" customFormat="1"/>
    <row r="512" s="7" customFormat="1"/>
    <row r="513" s="7" customFormat="1"/>
    <row r="514" s="7" customFormat="1"/>
    <row r="515" s="7" customFormat="1"/>
    <row r="516" s="7" customFormat="1"/>
    <row r="517" s="7" customFormat="1"/>
    <row r="518" s="7" customFormat="1"/>
    <row r="519" s="7" customFormat="1"/>
    <row r="520" s="7" customFormat="1"/>
    <row r="521" s="7" customFormat="1"/>
    <row r="522" s="7" customFormat="1"/>
    <row r="523" s="7" customFormat="1"/>
    <row r="524" s="7" customFormat="1"/>
    <row r="525" s="7" customFormat="1"/>
    <row r="526" s="7" customFormat="1"/>
    <row r="527" s="7" customFormat="1"/>
    <row r="528" s="7" customFormat="1"/>
    <row r="529" s="7" customFormat="1"/>
    <row r="530" s="7" customFormat="1"/>
    <row r="531" s="7" customFormat="1"/>
    <row r="532" s="7" customFormat="1"/>
    <row r="533" s="7" customFormat="1"/>
    <row r="534" s="7" customFormat="1"/>
    <row r="535" s="7" customFormat="1"/>
    <row r="536" s="7" customFormat="1"/>
    <row r="537" s="7" customFormat="1"/>
    <row r="538" s="7" customFormat="1"/>
    <row r="539" s="7" customFormat="1"/>
    <row r="540" s="7" customFormat="1"/>
    <row r="541" s="7" customFormat="1"/>
    <row r="542" s="7" customFormat="1"/>
    <row r="543" s="7" customFormat="1"/>
    <row r="544" s="7" customFormat="1"/>
    <row r="545" s="7" customFormat="1"/>
    <row r="546" s="7" customFormat="1"/>
    <row r="547" s="7" customFormat="1"/>
    <row r="548" s="7" customFormat="1"/>
    <row r="549" s="7" customFormat="1"/>
    <row r="550" s="7" customFormat="1"/>
    <row r="551" s="7" customFormat="1"/>
    <row r="552" s="7" customFormat="1"/>
    <row r="553" s="7" customFormat="1"/>
    <row r="554" s="7" customFormat="1"/>
    <row r="555" s="7" customFormat="1"/>
    <row r="556" s="7" customFormat="1"/>
    <row r="557" s="7" customFormat="1"/>
    <row r="558" s="7" customFormat="1"/>
    <row r="559" s="7" customFormat="1"/>
    <row r="560" s="7" customFormat="1"/>
    <row r="561" s="7" customFormat="1"/>
    <row r="562" s="7" customFormat="1"/>
    <row r="563" s="7" customFormat="1"/>
    <row r="564" s="7" customFormat="1"/>
    <row r="565" s="7" customFormat="1"/>
    <row r="566" s="7" customFormat="1"/>
    <row r="567" s="7" customFormat="1"/>
    <row r="568" s="7" customFormat="1"/>
    <row r="569" s="7" customFormat="1"/>
    <row r="570" s="7" customFormat="1"/>
    <row r="571" s="7" customFormat="1"/>
    <row r="572" s="7" customFormat="1"/>
    <row r="573" s="7" customFormat="1"/>
    <row r="574" s="7" customFormat="1"/>
    <row r="575" s="7" customFormat="1"/>
    <row r="576" s="7" customFormat="1"/>
    <row r="577" s="7" customFormat="1"/>
    <row r="578" s="7" customFormat="1"/>
    <row r="579" s="7" customFormat="1"/>
    <row r="580" s="7" customFormat="1"/>
    <row r="581" s="7" customFormat="1"/>
    <row r="582" s="7" customFormat="1"/>
    <row r="583" s="7" customFormat="1"/>
    <row r="584" s="7" customFormat="1"/>
    <row r="585" s="7" customFormat="1"/>
    <row r="586" s="7" customFormat="1"/>
    <row r="587" s="7" customFormat="1"/>
    <row r="588" s="7" customFormat="1"/>
    <row r="589" s="7" customFormat="1"/>
    <row r="590" s="7" customFormat="1"/>
    <row r="591" s="7" customFormat="1"/>
    <row r="592" s="7" customFormat="1"/>
    <row r="593" s="7" customFormat="1"/>
    <row r="594" s="7" customFormat="1"/>
    <row r="595" s="7" customFormat="1"/>
    <row r="596" s="7" customFormat="1"/>
    <row r="597" s="7" customFormat="1"/>
    <row r="598" s="7" customFormat="1"/>
    <row r="599" s="7" customFormat="1"/>
    <row r="600" s="7" customFormat="1"/>
    <row r="601" s="7" customFormat="1"/>
    <row r="602" s="7" customFormat="1"/>
    <row r="603" s="7" customFormat="1"/>
    <row r="604" s="7" customFormat="1"/>
    <row r="605" s="7" customFormat="1"/>
    <row r="606" s="7" customFormat="1"/>
    <row r="607" s="7" customFormat="1"/>
    <row r="608" s="7" customFormat="1"/>
    <row r="609" s="7" customFormat="1"/>
    <row r="610" s="7" customFormat="1"/>
    <row r="611" s="7" customFormat="1"/>
    <row r="612" s="7" customFormat="1"/>
    <row r="613" s="7" customFormat="1"/>
    <row r="614" s="7" customFormat="1"/>
    <row r="615" s="7" customFormat="1"/>
    <row r="616" s="7" customFormat="1"/>
    <row r="617" s="7" customFormat="1"/>
    <row r="618" s="7" customFormat="1"/>
    <row r="619" s="7" customFormat="1"/>
    <row r="620" s="7" customFormat="1"/>
    <row r="621" s="7" customFormat="1"/>
    <row r="622" s="7" customFormat="1"/>
    <row r="623" s="7" customFormat="1"/>
    <row r="624" s="7" customFormat="1"/>
    <row r="625" s="7" customFormat="1"/>
    <row r="626" s="7" customFormat="1"/>
    <row r="627" s="7" customFormat="1"/>
    <row r="628" s="7" customFormat="1"/>
    <row r="629" s="7" customFormat="1"/>
    <row r="630" s="7" customFormat="1"/>
    <row r="631" s="7" customFormat="1"/>
    <row r="632" s="7" customFormat="1"/>
    <row r="633" s="7" customFormat="1"/>
    <row r="634" s="7" customFormat="1"/>
    <row r="635" s="7" customFormat="1"/>
    <row r="636" s="7" customFormat="1"/>
    <row r="637" s="7" customFormat="1"/>
    <row r="638" s="7" customFormat="1"/>
    <row r="639" s="7" customFormat="1"/>
    <row r="640" s="7" customFormat="1"/>
    <row r="641" s="7" customFormat="1"/>
    <row r="642" s="7" customFormat="1"/>
    <row r="643" s="7" customFormat="1"/>
    <row r="644" s="7" customFormat="1"/>
    <row r="645" s="7" customFormat="1"/>
    <row r="646" s="7" customFormat="1"/>
    <row r="647" s="7" customFormat="1"/>
    <row r="648" s="7" customFormat="1"/>
    <row r="649" s="7" customFormat="1"/>
    <row r="650" s="7" customFormat="1"/>
    <row r="651" s="7" customFormat="1"/>
    <row r="652" s="7" customFormat="1"/>
    <row r="653" s="7" customFormat="1"/>
    <row r="654" s="7" customFormat="1"/>
    <row r="655" s="7" customFormat="1"/>
    <row r="656" s="7" customFormat="1"/>
    <row r="657" s="7" customFormat="1"/>
    <row r="658" s="7" customFormat="1"/>
    <row r="659" s="7" customFormat="1"/>
    <row r="660" s="7" customFormat="1"/>
    <row r="661" s="7" customFormat="1"/>
    <row r="662" s="7" customFormat="1"/>
    <row r="663" s="7" customFormat="1"/>
    <row r="664" s="7" customFormat="1"/>
    <row r="665" s="7" customFormat="1"/>
    <row r="666" s="7" customFormat="1"/>
    <row r="667" s="7" customFormat="1"/>
    <row r="668" s="7" customFormat="1"/>
    <row r="669" s="7" customFormat="1"/>
    <row r="670" s="7" customFormat="1"/>
    <row r="671" s="7" customFormat="1"/>
    <row r="672" s="7" customFormat="1"/>
    <row r="673" s="7" customFormat="1"/>
    <row r="674" s="7" customFormat="1"/>
    <row r="675" s="7" customFormat="1"/>
    <row r="676" s="7" customFormat="1"/>
    <row r="677" s="7" customFormat="1"/>
    <row r="678" s="7" customFormat="1"/>
    <row r="679" s="7" customFormat="1"/>
    <row r="680" s="7" customFormat="1"/>
    <row r="681" s="7" customFormat="1"/>
    <row r="682" s="7" customFormat="1"/>
    <row r="683" s="7" customFormat="1"/>
    <row r="684" s="7" customFormat="1"/>
    <row r="685" s="7" customFormat="1"/>
    <row r="686" s="7" customFormat="1"/>
    <row r="687" s="7" customFormat="1"/>
    <row r="688" s="7" customFormat="1"/>
    <row r="689" s="7" customFormat="1"/>
    <row r="690" s="7" customFormat="1"/>
    <row r="691" s="7" customFormat="1"/>
    <row r="692" s="7" customFormat="1"/>
    <row r="693" s="7" customFormat="1"/>
    <row r="694" s="7" customFormat="1"/>
    <row r="695" s="7" customFormat="1"/>
    <row r="696" s="7" customFormat="1"/>
    <row r="697" s="7" customFormat="1"/>
    <row r="698" s="7" customFormat="1"/>
    <row r="699" s="7" customFormat="1"/>
    <row r="700" s="7" customFormat="1"/>
    <row r="701" s="7" customFormat="1"/>
    <row r="702" s="7" customFormat="1"/>
    <row r="703" s="7" customFormat="1"/>
    <row r="704" s="7" customFormat="1"/>
    <row r="705" s="7" customFormat="1"/>
    <row r="706" s="7" customFormat="1"/>
    <row r="707" s="7" customFormat="1"/>
    <row r="708" s="7" customFormat="1"/>
    <row r="709" s="7" customFormat="1"/>
    <row r="710" s="7" customFormat="1"/>
    <row r="711" s="7" customFormat="1"/>
    <row r="712" s="7" customFormat="1"/>
    <row r="713" s="7" customFormat="1"/>
    <row r="714" s="7" customFormat="1"/>
    <row r="715" s="7" customFormat="1"/>
    <row r="716" s="7" customFormat="1"/>
    <row r="717" s="7" customFormat="1"/>
    <row r="718" s="7" customFormat="1"/>
    <row r="719" s="7" customFormat="1"/>
    <row r="720" s="7" customFormat="1"/>
    <row r="721" s="7" customFormat="1"/>
    <row r="722" s="7" customFormat="1"/>
    <row r="723" s="7" customFormat="1"/>
    <row r="724" s="7" customFormat="1"/>
    <row r="725" s="7" customFormat="1"/>
    <row r="726" s="7" customFormat="1"/>
    <row r="727" s="7" customFormat="1"/>
    <row r="728" s="7" customFormat="1"/>
    <row r="729" s="7" customFormat="1"/>
    <row r="730" s="7" customFormat="1"/>
    <row r="731" s="7" customFormat="1"/>
    <row r="732" s="7" customFormat="1"/>
    <row r="733" s="7" customFormat="1"/>
    <row r="734" s="7" customFormat="1"/>
    <row r="735" s="7" customFormat="1"/>
    <row r="736" s="7" customFormat="1"/>
    <row r="737" s="7" customFormat="1"/>
    <row r="738" s="7" customFormat="1"/>
    <row r="739" s="7" customFormat="1"/>
    <row r="740" s="7" customFormat="1"/>
    <row r="741" s="7" customFormat="1"/>
    <row r="742" s="7" customFormat="1"/>
    <row r="743" s="7" customFormat="1"/>
  </sheetData>
  <mergeCells count="14">
    <mergeCell ref="A1:I1"/>
    <mergeCell ref="J1:R1"/>
    <mergeCell ref="B3:I3"/>
    <mergeCell ref="J3:Q3"/>
    <mergeCell ref="B4:I4"/>
    <mergeCell ref="J4:Q4"/>
    <mergeCell ref="A25:I25"/>
    <mergeCell ref="J25:R25"/>
    <mergeCell ref="B5:I5"/>
    <mergeCell ref="J5:Q5"/>
    <mergeCell ref="B6:I6"/>
    <mergeCell ref="J6:Q6"/>
    <mergeCell ref="B7:I7"/>
    <mergeCell ref="J7:Q7"/>
  </mergeCells>
  <dataValidations count="2">
    <dataValidation type="list" sqref="D10:D20" xr:uid="{6618791A-2420-4F4B-8340-167A339F0717}">
      <formula1>"Tonya Coyne,Macameron Clark,Ricky Diaz,Entire Team"</formula1>
    </dataValidation>
    <dataValidation type="list" sqref="G10:G20" xr:uid="{6409DDE8-452D-48ED-8CE0-8348D7C15EAE}">
      <formula1>"Not Started,In Progress,Blocked,Complete"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7"/>
  <sheetViews>
    <sheetView showGridLines="0" workbookViewId="0">
      <selection sqref="A1:G1"/>
    </sheetView>
  </sheetViews>
  <sheetFormatPr defaultRowHeight="13.8"/>
  <cols>
    <col min="1" max="1" width="15.19921875" customWidth="1"/>
    <col min="2" max="2" width="21" customWidth="1"/>
    <col min="3" max="3" width="12" customWidth="1"/>
    <col min="4" max="4" width="42" customWidth="1"/>
    <col min="5" max="5" width="10" customWidth="1"/>
    <col min="6" max="6" width="35" customWidth="1"/>
    <col min="7" max="7" width="28" customWidth="1"/>
  </cols>
  <sheetData>
    <row r="1" spans="1:7" ht="30" customHeight="1">
      <c r="A1" s="40" t="s">
        <v>118</v>
      </c>
      <c r="B1" s="40"/>
      <c r="C1" s="40"/>
      <c r="D1" s="40"/>
      <c r="E1" s="40"/>
      <c r="F1" s="40"/>
      <c r="G1" s="40"/>
    </row>
    <row r="3" spans="1:7">
      <c r="A3" s="1" t="s">
        <v>119</v>
      </c>
      <c r="B3" s="1" t="s">
        <v>120</v>
      </c>
      <c r="C3" s="1" t="s">
        <v>11</v>
      </c>
      <c r="D3" s="1" t="s">
        <v>121</v>
      </c>
      <c r="E3" s="1" t="s">
        <v>122</v>
      </c>
      <c r="F3" s="1" t="s">
        <v>123</v>
      </c>
      <c r="G3" s="1" t="s">
        <v>19</v>
      </c>
    </row>
    <row r="4" spans="1:7">
      <c r="A4" s="19">
        <v>46266</v>
      </c>
      <c r="B4" s="26" t="s">
        <v>36</v>
      </c>
      <c r="C4" s="26" t="s">
        <v>21</v>
      </c>
      <c r="D4" s="21" t="s">
        <v>124</v>
      </c>
      <c r="E4" s="20">
        <v>1</v>
      </c>
      <c r="F4" s="21" t="s">
        <v>125</v>
      </c>
      <c r="G4" s="21"/>
    </row>
    <row r="5" spans="1:7">
      <c r="A5" s="19">
        <v>46266</v>
      </c>
      <c r="B5" s="26" t="s">
        <v>36</v>
      </c>
      <c r="C5" s="26" t="s">
        <v>45</v>
      </c>
      <c r="D5" s="21" t="s">
        <v>126</v>
      </c>
      <c r="E5" s="20">
        <v>1</v>
      </c>
      <c r="F5" s="21" t="s">
        <v>127</v>
      </c>
      <c r="G5" s="21"/>
    </row>
    <row r="6" spans="1:7">
      <c r="A6" s="19">
        <v>46267</v>
      </c>
      <c r="B6" s="26" t="s">
        <v>36</v>
      </c>
      <c r="C6" s="26" t="s">
        <v>56</v>
      </c>
      <c r="D6" s="21" t="s">
        <v>128</v>
      </c>
      <c r="E6" s="20">
        <v>1</v>
      </c>
      <c r="F6" s="21" t="s">
        <v>129</v>
      </c>
      <c r="G6" s="21"/>
    </row>
    <row r="7" spans="1:7">
      <c r="A7" s="19">
        <v>46268</v>
      </c>
      <c r="B7" s="26" t="s">
        <v>36</v>
      </c>
      <c r="C7" s="26" t="s">
        <v>77</v>
      </c>
      <c r="D7" s="21" t="s">
        <v>130</v>
      </c>
      <c r="E7" s="20">
        <v>1</v>
      </c>
      <c r="F7" s="21" t="s">
        <v>131</v>
      </c>
      <c r="G7" s="21"/>
    </row>
    <row r="8" spans="1:7">
      <c r="A8" s="19">
        <v>46269</v>
      </c>
      <c r="B8" s="26" t="s">
        <v>36</v>
      </c>
      <c r="C8" s="26" t="s">
        <v>66</v>
      </c>
      <c r="D8" s="21" t="s">
        <v>132</v>
      </c>
      <c r="E8" s="20">
        <v>0.5</v>
      </c>
      <c r="F8" s="21" t="s">
        <v>133</v>
      </c>
      <c r="G8" s="21"/>
    </row>
    <row r="9" spans="1:7">
      <c r="A9" s="19"/>
      <c r="B9" s="26" t="s">
        <v>134</v>
      </c>
      <c r="C9" s="26"/>
      <c r="D9" s="21"/>
      <c r="E9" s="20">
        <v>0</v>
      </c>
      <c r="F9" s="21"/>
      <c r="G9" s="21"/>
    </row>
    <row r="10" spans="1:7">
      <c r="A10" s="19"/>
      <c r="B10" s="26" t="s">
        <v>134</v>
      </c>
      <c r="C10" s="26"/>
      <c r="D10" s="21"/>
      <c r="E10" s="20">
        <v>0</v>
      </c>
      <c r="F10" s="21"/>
      <c r="G10" s="21"/>
    </row>
    <row r="11" spans="1:7">
      <c r="A11" s="19"/>
      <c r="B11" s="26" t="s">
        <v>134</v>
      </c>
      <c r="C11" s="26"/>
      <c r="D11" s="21"/>
      <c r="E11" s="20">
        <v>0</v>
      </c>
      <c r="F11" s="21"/>
      <c r="G11" s="21"/>
    </row>
    <row r="12" spans="1:7">
      <c r="A12" s="19"/>
      <c r="B12" s="26" t="s">
        <v>134</v>
      </c>
      <c r="C12" s="26"/>
      <c r="D12" s="21"/>
      <c r="E12" s="20">
        <v>0</v>
      </c>
      <c r="F12" s="21"/>
      <c r="G12" s="21"/>
    </row>
    <row r="13" spans="1:7">
      <c r="A13" s="19"/>
      <c r="B13" s="26" t="s">
        <v>134</v>
      </c>
      <c r="C13" s="26"/>
      <c r="D13" s="21"/>
      <c r="E13" s="20">
        <v>0</v>
      </c>
      <c r="F13" s="21"/>
      <c r="G13" s="21"/>
    </row>
    <row r="14" spans="1:7">
      <c r="A14" s="19"/>
      <c r="B14" s="26" t="s">
        <v>48</v>
      </c>
      <c r="C14" s="26"/>
      <c r="D14" s="21"/>
      <c r="E14" s="20">
        <v>0</v>
      </c>
      <c r="F14" s="21"/>
      <c r="G14" s="21"/>
    </row>
    <row r="15" spans="1:7">
      <c r="A15" s="19"/>
      <c r="B15" s="26" t="s">
        <v>48</v>
      </c>
      <c r="C15" s="26"/>
      <c r="D15" s="21"/>
      <c r="E15" s="20">
        <v>0</v>
      </c>
      <c r="F15" s="21"/>
      <c r="G15" s="21"/>
    </row>
    <row r="16" spans="1:7">
      <c r="A16" s="19"/>
      <c r="B16" s="26" t="s">
        <v>48</v>
      </c>
      <c r="C16" s="26"/>
      <c r="D16" s="21"/>
      <c r="E16" s="20">
        <v>0</v>
      </c>
      <c r="F16" s="21"/>
      <c r="G16" s="21"/>
    </row>
    <row r="17" spans="1:7">
      <c r="A17" s="19"/>
      <c r="B17" s="26" t="s">
        <v>48</v>
      </c>
      <c r="C17" s="26"/>
      <c r="D17" s="21"/>
      <c r="E17" s="20">
        <v>0</v>
      </c>
      <c r="F17" s="21"/>
      <c r="G17" s="21"/>
    </row>
    <row r="18" spans="1:7">
      <c r="A18" s="19"/>
      <c r="B18" s="26" t="s">
        <v>48</v>
      </c>
      <c r="C18" s="26"/>
      <c r="D18" s="21"/>
      <c r="E18" s="20">
        <v>0</v>
      </c>
      <c r="F18" s="21"/>
      <c r="G18" s="21"/>
    </row>
    <row r="20" spans="1:7">
      <c r="A20" s="1" t="s">
        <v>120</v>
      </c>
      <c r="B20" s="1" t="s">
        <v>135</v>
      </c>
    </row>
    <row r="21" spans="1:7">
      <c r="A21" s="2" t="s">
        <v>36</v>
      </c>
      <c r="B21" s="6">
        <f>SUMIF(B4:B18,A21,E4:E18)</f>
        <v>4.5</v>
      </c>
    </row>
    <row r="22" spans="1:7">
      <c r="A22" s="2" t="s">
        <v>134</v>
      </c>
      <c r="B22" s="6">
        <f>SUMIF(B5:B19,A22,E5:E19)</f>
        <v>0</v>
      </c>
    </row>
    <row r="23" spans="1:7">
      <c r="A23" s="2" t="s">
        <v>48</v>
      </c>
      <c r="B23" s="6">
        <v>0</v>
      </c>
    </row>
    <row r="24" spans="1:7">
      <c r="A24" s="2" t="s">
        <v>74</v>
      </c>
      <c r="B24" s="6">
        <f>SUMIF(B6:B20,A24,E6:E20)</f>
        <v>0</v>
      </c>
    </row>
    <row r="25" spans="1:7">
      <c r="A25" s="27" t="s">
        <v>136</v>
      </c>
      <c r="B25" s="28">
        <f>SUM(B21:B24)</f>
        <v>4.5</v>
      </c>
    </row>
    <row r="27" spans="1:7" ht="14.4">
      <c r="A27" s="49" t="s">
        <v>137</v>
      </c>
      <c r="B27" s="49"/>
      <c r="C27" s="49"/>
      <c r="D27" s="49"/>
      <c r="E27" s="49"/>
      <c r="F27" s="49"/>
      <c r="G27" s="49"/>
    </row>
  </sheetData>
  <mergeCells count="2">
    <mergeCell ref="A1:G1"/>
    <mergeCell ref="A27:G27"/>
  </mergeCells>
  <dataValidations count="2">
    <dataValidation type="list" sqref="B4:B18" xr:uid="{00000000-0002-0000-0200-000000000000}">
      <formula1>"Tonya Coyne,Macameron Clark,Ricky Diaz"</formula1>
    </dataValidation>
    <dataValidation type="list" sqref="C4:C18" xr:uid="{00000000-0002-0000-0200-000001000000}">
      <formula1>"T01,T02,T03,T04,T05,T06,T07,T08,T09,T10,T11"</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7"/>
  <sheetViews>
    <sheetView topLeftCell="A4" zoomScaleNormal="100" zoomScaleSheetLayoutView="100" workbookViewId="0">
      <selection activeCell="E12" sqref="E12"/>
    </sheetView>
  </sheetViews>
  <sheetFormatPr defaultRowHeight="13.8"/>
  <cols>
    <col min="1" max="1" width="19.69921875" customWidth="1"/>
    <col min="2" max="2" width="22" customWidth="1"/>
    <col min="3" max="3" width="10" customWidth="1"/>
    <col min="4" max="4" width="45" customWidth="1"/>
    <col min="5" max="5" width="10" customWidth="1"/>
    <col min="6" max="6" width="35" customWidth="1"/>
    <col min="7" max="7" width="22" customWidth="1"/>
  </cols>
  <sheetData>
    <row r="1" spans="1:7" ht="30" customHeight="1">
      <c r="A1" s="40" t="s">
        <v>138</v>
      </c>
      <c r="B1" s="40"/>
      <c r="C1" s="40"/>
      <c r="D1" s="40"/>
      <c r="E1" s="40"/>
      <c r="F1" s="40"/>
      <c r="G1" s="40"/>
    </row>
    <row r="3" spans="1:7">
      <c r="A3" s="1" t="s">
        <v>119</v>
      </c>
      <c r="B3" s="1" t="s">
        <v>120</v>
      </c>
      <c r="C3" s="1" t="s">
        <v>11</v>
      </c>
      <c r="D3" s="1" t="s">
        <v>121</v>
      </c>
      <c r="E3" s="1" t="s">
        <v>122</v>
      </c>
      <c r="F3" s="1" t="s">
        <v>123</v>
      </c>
      <c r="G3" s="1" t="s">
        <v>19</v>
      </c>
    </row>
    <row r="4" spans="1:7" ht="26.4" customHeight="1">
      <c r="A4" s="22" t="s">
        <v>237</v>
      </c>
      <c r="B4" s="29" t="s">
        <v>36</v>
      </c>
      <c r="C4" s="29" t="s">
        <v>21</v>
      </c>
      <c r="D4" s="24" t="s">
        <v>139</v>
      </c>
      <c r="E4" s="23">
        <v>1</v>
      </c>
      <c r="F4" s="24" t="s">
        <v>236</v>
      </c>
      <c r="G4" s="24" t="s">
        <v>141</v>
      </c>
    </row>
    <row r="5" spans="1:7" ht="26.4" customHeight="1">
      <c r="A5" s="22" t="s">
        <v>238</v>
      </c>
      <c r="B5" s="29" t="s">
        <v>36</v>
      </c>
      <c r="C5" s="29" t="s">
        <v>28</v>
      </c>
      <c r="D5" s="24" t="s">
        <v>142</v>
      </c>
      <c r="E5" s="23">
        <v>1.5</v>
      </c>
      <c r="F5" s="24" t="s">
        <v>236</v>
      </c>
      <c r="G5" s="24" t="s">
        <v>141</v>
      </c>
    </row>
    <row r="6" spans="1:7" ht="26.4" customHeight="1">
      <c r="A6" s="22" t="s">
        <v>239</v>
      </c>
      <c r="B6" s="29" t="s">
        <v>36</v>
      </c>
      <c r="C6" s="29" t="s">
        <v>33</v>
      </c>
      <c r="D6" s="24" t="s">
        <v>143</v>
      </c>
      <c r="E6" s="23">
        <v>1.5</v>
      </c>
      <c r="F6" s="24" t="s">
        <v>144</v>
      </c>
      <c r="G6" s="24" t="s">
        <v>141</v>
      </c>
    </row>
    <row r="7" spans="1:7" ht="26.4" customHeight="1">
      <c r="A7" s="22" t="s">
        <v>240</v>
      </c>
      <c r="B7" s="29" t="s">
        <v>36</v>
      </c>
      <c r="C7" s="29" t="s">
        <v>71</v>
      </c>
      <c r="D7" s="24" t="s">
        <v>145</v>
      </c>
      <c r="E7" s="23">
        <v>1</v>
      </c>
      <c r="F7" s="24" t="s">
        <v>146</v>
      </c>
      <c r="G7" s="24" t="s">
        <v>141</v>
      </c>
    </row>
    <row r="8" spans="1:7" ht="26.4" customHeight="1">
      <c r="A8" s="22" t="s">
        <v>241</v>
      </c>
      <c r="B8" s="29" t="s">
        <v>36</v>
      </c>
      <c r="C8" s="29" t="s">
        <v>77</v>
      </c>
      <c r="D8" s="24" t="s">
        <v>147</v>
      </c>
      <c r="E8" s="23">
        <v>2</v>
      </c>
      <c r="F8" s="24" t="s">
        <v>140</v>
      </c>
      <c r="G8" s="24" t="s">
        <v>141</v>
      </c>
    </row>
    <row r="9" spans="1:7" ht="26.4" customHeight="1">
      <c r="A9" s="22" t="s">
        <v>242</v>
      </c>
      <c r="B9" s="29" t="s">
        <v>74</v>
      </c>
      <c r="C9" s="29" t="s">
        <v>21</v>
      </c>
      <c r="D9" s="24" t="s">
        <v>148</v>
      </c>
      <c r="E9" s="23">
        <v>1</v>
      </c>
      <c r="F9" s="24" t="s">
        <v>149</v>
      </c>
      <c r="G9" s="24" t="s">
        <v>141</v>
      </c>
    </row>
    <row r="10" spans="1:7" ht="26.4" customHeight="1">
      <c r="A10" s="22" t="s">
        <v>243</v>
      </c>
      <c r="B10" s="29" t="s">
        <v>74</v>
      </c>
      <c r="C10" s="29" t="s">
        <v>71</v>
      </c>
      <c r="D10" s="24" t="s">
        <v>150</v>
      </c>
      <c r="E10" s="23">
        <v>1.5</v>
      </c>
      <c r="F10" s="24" t="s">
        <v>151</v>
      </c>
      <c r="G10" s="24" t="s">
        <v>141</v>
      </c>
    </row>
    <row r="11" spans="1:7" ht="26.4" customHeight="1">
      <c r="A11" s="22" t="s">
        <v>244</v>
      </c>
      <c r="B11" s="29" t="s">
        <v>74</v>
      </c>
      <c r="C11" s="29" t="s">
        <v>71</v>
      </c>
      <c r="D11" s="24" t="s">
        <v>152</v>
      </c>
      <c r="E11" s="23">
        <v>1.5</v>
      </c>
      <c r="F11" s="24" t="s">
        <v>153</v>
      </c>
      <c r="G11" s="24" t="s">
        <v>141</v>
      </c>
    </row>
    <row r="12" spans="1:7" ht="26.4" customHeight="1">
      <c r="A12" s="22" t="s">
        <v>245</v>
      </c>
      <c r="B12" s="29" t="s">
        <v>74</v>
      </c>
      <c r="C12" s="29" t="s">
        <v>77</v>
      </c>
      <c r="D12" s="24" t="s">
        <v>154</v>
      </c>
      <c r="E12" s="23">
        <v>1</v>
      </c>
      <c r="F12" s="24" t="s">
        <v>155</v>
      </c>
      <c r="G12" s="24" t="s">
        <v>141</v>
      </c>
    </row>
    <row r="13" spans="1:7" ht="26.4" customHeight="1">
      <c r="A13" s="22" t="s">
        <v>246</v>
      </c>
      <c r="B13" s="29" t="s">
        <v>48</v>
      </c>
      <c r="C13" s="29" t="s">
        <v>40</v>
      </c>
      <c r="D13" s="24" t="s">
        <v>156</v>
      </c>
      <c r="E13" s="23">
        <v>1</v>
      </c>
      <c r="F13" s="24" t="s">
        <v>157</v>
      </c>
      <c r="G13" s="24" t="s">
        <v>141</v>
      </c>
    </row>
    <row r="14" spans="1:7" ht="26.4" customHeight="1">
      <c r="A14" s="22" t="s">
        <v>247</v>
      </c>
      <c r="B14" s="29" t="s">
        <v>48</v>
      </c>
      <c r="C14" s="29" t="s">
        <v>45</v>
      </c>
      <c r="D14" s="24" t="s">
        <v>158</v>
      </c>
      <c r="E14" s="23">
        <v>1.5</v>
      </c>
      <c r="F14" s="24" t="s">
        <v>157</v>
      </c>
      <c r="G14" s="24" t="s">
        <v>141</v>
      </c>
    </row>
    <row r="15" spans="1:7" ht="13.95" customHeight="1">
      <c r="A15" s="22" t="s">
        <v>248</v>
      </c>
      <c r="B15" s="29" t="s">
        <v>48</v>
      </c>
      <c r="C15" s="29" t="s">
        <v>51</v>
      </c>
      <c r="D15" s="24" t="s">
        <v>159</v>
      </c>
      <c r="E15" s="23">
        <v>1.5</v>
      </c>
      <c r="F15" s="24" t="s">
        <v>157</v>
      </c>
      <c r="G15" s="24" t="s">
        <v>141</v>
      </c>
    </row>
    <row r="16" spans="1:7" ht="13.95" customHeight="1">
      <c r="A16" s="22" t="s">
        <v>249</v>
      </c>
      <c r="B16" s="29" t="s">
        <v>48</v>
      </c>
      <c r="C16" s="29" t="s">
        <v>56</v>
      </c>
      <c r="D16" s="24" t="s">
        <v>160</v>
      </c>
      <c r="E16" s="23">
        <v>1.5</v>
      </c>
      <c r="F16" s="24" t="s">
        <v>161</v>
      </c>
      <c r="G16" s="24" t="s">
        <v>141</v>
      </c>
    </row>
    <row r="17" spans="1:7" ht="26.4" customHeight="1">
      <c r="A17" s="22" t="s">
        <v>250</v>
      </c>
      <c r="B17" s="29" t="s">
        <v>48</v>
      </c>
      <c r="C17" s="29" t="s">
        <v>61</v>
      </c>
      <c r="D17" s="24" t="s">
        <v>162</v>
      </c>
      <c r="E17" s="23">
        <v>1.5</v>
      </c>
      <c r="F17" s="24" t="s">
        <v>163</v>
      </c>
      <c r="G17" s="24" t="s">
        <v>141</v>
      </c>
    </row>
    <row r="18" spans="1:7" ht="26.4" customHeight="1">
      <c r="A18" s="22" t="s">
        <v>251</v>
      </c>
      <c r="B18" s="29" t="s">
        <v>48</v>
      </c>
      <c r="C18" s="29" t="s">
        <v>66</v>
      </c>
      <c r="D18" s="24" t="s">
        <v>164</v>
      </c>
      <c r="E18" s="23">
        <v>1.5</v>
      </c>
      <c r="F18" s="24" t="s">
        <v>165</v>
      </c>
      <c r="G18" s="24" t="s">
        <v>141</v>
      </c>
    </row>
    <row r="20" spans="1:7">
      <c r="A20" s="1" t="s">
        <v>120</v>
      </c>
      <c r="B20" s="1" t="s">
        <v>166</v>
      </c>
    </row>
    <row r="21" spans="1:7">
      <c r="A21" s="2" t="s">
        <v>36</v>
      </c>
      <c r="B21" s="6">
        <f>SUMIF($B$4:$B$18,A21,$E$4:$E$18)</f>
        <v>7</v>
      </c>
    </row>
    <row r="22" spans="1:7">
      <c r="A22" s="2" t="s">
        <v>134</v>
      </c>
      <c r="B22" s="6">
        <f>SUMIF($B$4:$B$18,A22,$E$4:$E$18)</f>
        <v>0</v>
      </c>
    </row>
    <row r="23" spans="1:7">
      <c r="A23" s="2" t="s">
        <v>48</v>
      </c>
      <c r="B23" s="6">
        <f>SUMIF($B$4:$B$18,A23,$E$4:$E$18)</f>
        <v>8.5</v>
      </c>
    </row>
    <row r="24" spans="1:7">
      <c r="A24" s="2" t="s">
        <v>74</v>
      </c>
      <c r="B24" s="6">
        <f>SUMIF($B$4:$B$18,A24,$E$4:$E$18)</f>
        <v>5</v>
      </c>
    </row>
    <row r="25" spans="1:7">
      <c r="A25" s="27" t="s">
        <v>136</v>
      </c>
      <c r="B25" s="28">
        <f>SUM(B21:B24)</f>
        <v>20.5</v>
      </c>
    </row>
    <row r="27" spans="1:7" ht="14.4">
      <c r="A27" s="49" t="s">
        <v>167</v>
      </c>
      <c r="B27" s="49"/>
      <c r="C27" s="49"/>
      <c r="D27" s="49"/>
      <c r="E27" s="49"/>
      <c r="F27" s="49"/>
      <c r="G27" s="49"/>
    </row>
  </sheetData>
  <mergeCells count="2">
    <mergeCell ref="A1:G1"/>
    <mergeCell ref="A27:G27"/>
  </mergeCells>
  <phoneticPr fontId="7" type="noConversion"/>
  <dataValidations count="2">
    <dataValidation type="list" sqref="C4:C18" xr:uid="{00000000-0002-0000-0300-000000000000}">
      <formula1>"T01,T02,T03,T04,T05,T06,T07,T08,T09,T10,T11"</formula1>
    </dataValidation>
    <dataValidation type="list" sqref="B4:B18" xr:uid="{00000000-0002-0000-0300-000001000000}">
      <formula1>"Tonya Coyne,Macameron Clark,Ricky Diaz"</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75273-1421-4890-95C3-603BF1AD91D1}">
  <dimension ref="A1:G27"/>
  <sheetViews>
    <sheetView workbookViewId="0">
      <selection activeCell="D4" sqref="D4"/>
    </sheetView>
  </sheetViews>
  <sheetFormatPr defaultRowHeight="13.8"/>
  <cols>
    <col min="1" max="1" width="13" customWidth="1"/>
    <col min="2" max="2" width="22" customWidth="1"/>
    <col min="3" max="3" width="10" customWidth="1"/>
    <col min="4" max="4" width="45" customWidth="1"/>
    <col min="5" max="5" width="10" customWidth="1"/>
    <col min="6" max="6" width="35" customWidth="1"/>
    <col min="7" max="7" width="22" customWidth="1"/>
  </cols>
  <sheetData>
    <row r="1" spans="1:7" ht="30" customHeight="1">
      <c r="A1" s="40" t="s">
        <v>229</v>
      </c>
      <c r="B1" s="40"/>
      <c r="C1" s="40"/>
      <c r="D1" s="40"/>
      <c r="E1" s="40"/>
      <c r="F1" s="40"/>
      <c r="G1" s="40"/>
    </row>
    <row r="3" spans="1:7">
      <c r="A3" s="1" t="s">
        <v>119</v>
      </c>
      <c r="B3" s="1" t="s">
        <v>120</v>
      </c>
      <c r="C3" s="1" t="s">
        <v>11</v>
      </c>
      <c r="D3" s="1" t="s">
        <v>121</v>
      </c>
      <c r="E3" s="1" t="s">
        <v>122</v>
      </c>
      <c r="F3" s="1" t="s">
        <v>123</v>
      </c>
      <c r="G3" s="1" t="s">
        <v>19</v>
      </c>
    </row>
    <row r="4" spans="1:7" ht="26.4" customHeight="1">
      <c r="A4" s="22">
        <v>46281</v>
      </c>
      <c r="B4" s="29" t="s">
        <v>36</v>
      </c>
      <c r="C4" s="29" t="s">
        <v>21</v>
      </c>
      <c r="D4" s="24" t="s">
        <v>234</v>
      </c>
      <c r="E4" s="23">
        <v>1.5</v>
      </c>
      <c r="F4" s="24"/>
      <c r="G4" s="24" t="s">
        <v>141</v>
      </c>
    </row>
    <row r="5" spans="1:7" ht="26.4" customHeight="1">
      <c r="A5" s="22"/>
      <c r="B5" s="29" t="s">
        <v>36</v>
      </c>
      <c r="C5" s="29" t="s">
        <v>28</v>
      </c>
      <c r="D5" s="24" t="s">
        <v>232</v>
      </c>
      <c r="E5" s="23">
        <v>1</v>
      </c>
      <c r="F5" s="24"/>
      <c r="G5" s="24" t="s">
        <v>141</v>
      </c>
    </row>
    <row r="6" spans="1:7" ht="26.4" customHeight="1">
      <c r="A6" s="22"/>
      <c r="B6" s="29" t="s">
        <v>36</v>
      </c>
      <c r="C6" s="29" t="s">
        <v>33</v>
      </c>
      <c r="D6" s="24" t="s">
        <v>233</v>
      </c>
      <c r="E6" s="23">
        <v>1</v>
      </c>
      <c r="F6" s="24"/>
      <c r="G6" s="24" t="s">
        <v>141</v>
      </c>
    </row>
    <row r="7" spans="1:7" ht="26.4" customHeight="1">
      <c r="A7" s="22"/>
      <c r="B7" s="29" t="s">
        <v>36</v>
      </c>
      <c r="C7" s="29" t="s">
        <v>71</v>
      </c>
      <c r="D7" s="24"/>
      <c r="E7" s="23"/>
      <c r="F7" s="24"/>
      <c r="G7" s="24" t="s">
        <v>141</v>
      </c>
    </row>
    <row r="8" spans="1:7" ht="26.4" customHeight="1">
      <c r="A8" s="22"/>
      <c r="B8" s="29" t="s">
        <v>36</v>
      </c>
      <c r="C8" s="29" t="s">
        <v>77</v>
      </c>
      <c r="D8" s="24"/>
      <c r="E8" s="23"/>
      <c r="F8" s="24"/>
      <c r="G8" s="24" t="s">
        <v>141</v>
      </c>
    </row>
    <row r="9" spans="1:7" ht="26.4" customHeight="1">
      <c r="A9" s="22"/>
      <c r="B9" s="29" t="s">
        <v>74</v>
      </c>
      <c r="C9" s="29" t="s">
        <v>21</v>
      </c>
      <c r="D9" s="24"/>
      <c r="E9" s="23"/>
      <c r="F9" s="24"/>
      <c r="G9" s="24" t="s">
        <v>141</v>
      </c>
    </row>
    <row r="10" spans="1:7" ht="26.4" customHeight="1">
      <c r="A10" s="22"/>
      <c r="B10" s="29" t="s">
        <v>74</v>
      </c>
      <c r="C10" s="29" t="s">
        <v>71</v>
      </c>
      <c r="D10" s="24"/>
      <c r="E10" s="23"/>
      <c r="F10" s="24"/>
      <c r="G10" s="24" t="s">
        <v>141</v>
      </c>
    </row>
    <row r="11" spans="1:7" ht="26.4" customHeight="1">
      <c r="A11" s="22"/>
      <c r="B11" s="29" t="s">
        <v>74</v>
      </c>
      <c r="C11" s="29" t="s">
        <v>71</v>
      </c>
      <c r="D11" s="24"/>
      <c r="E11" s="23"/>
      <c r="F11" s="24"/>
      <c r="G11" s="24" t="s">
        <v>141</v>
      </c>
    </row>
    <row r="12" spans="1:7" ht="26.4" customHeight="1">
      <c r="A12" s="22"/>
      <c r="B12" s="29" t="s">
        <v>74</v>
      </c>
      <c r="C12" s="29" t="s">
        <v>77</v>
      </c>
      <c r="D12" s="24"/>
      <c r="E12" s="23"/>
      <c r="F12" s="24"/>
      <c r="G12" s="24" t="s">
        <v>141</v>
      </c>
    </row>
    <row r="13" spans="1:7" ht="26.4" customHeight="1">
      <c r="A13" s="22">
        <v>46282</v>
      </c>
      <c r="B13" s="29" t="s">
        <v>48</v>
      </c>
      <c r="C13" s="29" t="s">
        <v>40</v>
      </c>
      <c r="D13" s="24" t="s">
        <v>230</v>
      </c>
      <c r="E13" s="23" t="s">
        <v>231</v>
      </c>
      <c r="F13" s="24"/>
      <c r="G13" s="24" t="s">
        <v>141</v>
      </c>
    </row>
    <row r="14" spans="1:7" ht="26.4" customHeight="1">
      <c r="A14" s="22"/>
      <c r="B14" s="29" t="s">
        <v>48</v>
      </c>
      <c r="C14" s="29" t="s">
        <v>45</v>
      </c>
      <c r="D14" s="24"/>
      <c r="E14" s="23"/>
      <c r="F14" s="24"/>
      <c r="G14" s="24" t="s">
        <v>141</v>
      </c>
    </row>
    <row r="15" spans="1:7" ht="13.95" customHeight="1">
      <c r="A15" s="22"/>
      <c r="B15" s="29" t="s">
        <v>48</v>
      </c>
      <c r="C15" s="29" t="s">
        <v>51</v>
      </c>
      <c r="D15" s="24"/>
      <c r="E15" s="23"/>
      <c r="F15" s="24"/>
      <c r="G15" s="24" t="s">
        <v>141</v>
      </c>
    </row>
    <row r="16" spans="1:7" ht="13.95" customHeight="1">
      <c r="A16" s="22"/>
      <c r="B16" s="29" t="s">
        <v>48</v>
      </c>
      <c r="C16" s="29" t="s">
        <v>56</v>
      </c>
      <c r="D16" s="24"/>
      <c r="E16" s="23"/>
      <c r="F16" s="24"/>
      <c r="G16" s="24" t="s">
        <v>141</v>
      </c>
    </row>
    <row r="17" spans="1:7" ht="26.4" customHeight="1">
      <c r="A17" s="22"/>
      <c r="B17" s="29" t="s">
        <v>48</v>
      </c>
      <c r="C17" s="29" t="s">
        <v>61</v>
      </c>
      <c r="D17" s="24"/>
      <c r="E17" s="23"/>
      <c r="F17" s="24"/>
      <c r="G17" s="24" t="s">
        <v>141</v>
      </c>
    </row>
    <row r="18" spans="1:7" ht="26.4" customHeight="1">
      <c r="A18" s="22"/>
      <c r="B18" s="29" t="s">
        <v>48</v>
      </c>
      <c r="C18" s="29" t="s">
        <v>66</v>
      </c>
      <c r="D18" s="24"/>
      <c r="E18" s="23"/>
      <c r="F18" s="24"/>
      <c r="G18" s="24" t="s">
        <v>141</v>
      </c>
    </row>
    <row r="20" spans="1:7" ht="27.6">
      <c r="A20" s="1" t="s">
        <v>120</v>
      </c>
      <c r="B20" s="1" t="s">
        <v>166</v>
      </c>
    </row>
    <row r="21" spans="1:7">
      <c r="A21" s="2" t="s">
        <v>36</v>
      </c>
      <c r="B21" s="6">
        <f>SUMIF($B$4:$B$18,A21,$E$4:$E$18)</f>
        <v>3.5</v>
      </c>
    </row>
    <row r="22" spans="1:7">
      <c r="A22" s="2" t="s">
        <v>134</v>
      </c>
      <c r="B22" s="6">
        <f>SUMIF($B$4:$B$18,A22,$E$4:$E$18)</f>
        <v>0</v>
      </c>
    </row>
    <row r="23" spans="1:7">
      <c r="A23" s="2" t="s">
        <v>48</v>
      </c>
      <c r="B23" s="6">
        <f>SUMIF($B$4:$B$18,A23,$E$4:$E$18)</f>
        <v>0</v>
      </c>
    </row>
    <row r="24" spans="1:7">
      <c r="A24" s="2" t="s">
        <v>74</v>
      </c>
      <c r="B24" s="6">
        <f>SUMIF($B$4:$B$18,A24,$E$4:$E$18)</f>
        <v>0</v>
      </c>
    </row>
    <row r="25" spans="1:7">
      <c r="A25" s="27" t="s">
        <v>136</v>
      </c>
      <c r="B25" s="28">
        <f>SUM(B21:B24)</f>
        <v>3.5</v>
      </c>
    </row>
    <row r="27" spans="1:7" ht="14.4">
      <c r="A27" s="49" t="s">
        <v>167</v>
      </c>
      <c r="B27" s="49"/>
      <c r="C27" s="49"/>
      <c r="D27" s="49"/>
      <c r="E27" s="49"/>
      <c r="F27" s="49"/>
      <c r="G27" s="49"/>
    </row>
  </sheetData>
  <mergeCells count="2">
    <mergeCell ref="A1:G1"/>
    <mergeCell ref="A27:G27"/>
  </mergeCells>
  <dataValidations count="2">
    <dataValidation type="list" sqref="B4:B18" xr:uid="{3CA0E996-7F57-4F78-A4B0-C0313B30D722}">
      <formula1>"Tonya Coyne,Macameron Clark,Ricky Diaz"</formula1>
    </dataValidation>
    <dataValidation type="list" sqref="C4:C18" xr:uid="{21800369-BFE2-4423-BF63-578A9F2E8F7E}">
      <formula1>"T01,T02,T03,T04,T05,T06,T07,T08,T09,T10,T11"</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7"/>
  <sheetViews>
    <sheetView showGridLines="0" workbookViewId="0">
      <selection sqref="A1:XFD1048576"/>
    </sheetView>
  </sheetViews>
  <sheetFormatPr defaultRowHeight="13.8"/>
  <cols>
    <col min="1" max="1" width="14" customWidth="1"/>
    <col min="2" max="2" width="22" customWidth="1"/>
    <col min="3" max="3" width="32" customWidth="1"/>
    <col min="4" max="4" width="30" customWidth="1"/>
    <col min="5" max="5" width="46" customWidth="1"/>
    <col min="6" max="6" width="22" customWidth="1"/>
    <col min="7" max="7" width="35" customWidth="1"/>
  </cols>
  <sheetData>
    <row r="1" spans="1:7" ht="30" customHeight="1">
      <c r="A1" s="40" t="s">
        <v>168</v>
      </c>
      <c r="B1" s="40"/>
      <c r="C1" s="40"/>
      <c r="D1" s="40"/>
      <c r="E1" s="40"/>
      <c r="F1" s="40"/>
      <c r="G1" s="40"/>
    </row>
    <row r="3" spans="1:7">
      <c r="A3" s="1" t="s">
        <v>119</v>
      </c>
      <c r="B3" s="1" t="s">
        <v>169</v>
      </c>
      <c r="C3" s="1" t="s">
        <v>170</v>
      </c>
      <c r="D3" s="1" t="s">
        <v>171</v>
      </c>
      <c r="E3" s="1" t="s">
        <v>172</v>
      </c>
      <c r="F3" s="1" t="s">
        <v>173</v>
      </c>
      <c r="G3" s="1" t="s">
        <v>174</v>
      </c>
    </row>
    <row r="4" spans="1:7">
      <c r="A4" s="19">
        <v>46268</v>
      </c>
      <c r="B4" s="26" t="s">
        <v>175</v>
      </c>
      <c r="C4" s="21" t="s">
        <v>176</v>
      </c>
      <c r="D4" s="21" t="s">
        <v>177</v>
      </c>
      <c r="E4" s="21" t="s">
        <v>178</v>
      </c>
      <c r="F4" s="21"/>
      <c r="G4" s="21"/>
    </row>
    <row r="5" spans="1:7" ht="41.4">
      <c r="A5" s="19">
        <v>46270</v>
      </c>
      <c r="B5" s="29" t="s">
        <v>175</v>
      </c>
      <c r="C5" s="24" t="s">
        <v>176</v>
      </c>
      <c r="D5" s="29" t="s">
        <v>177</v>
      </c>
      <c r="E5" s="21" t="s">
        <v>179</v>
      </c>
      <c r="F5" s="21"/>
      <c r="G5" s="21"/>
    </row>
    <row r="6" spans="1:7" ht="41.4">
      <c r="A6" s="19">
        <v>46271</v>
      </c>
      <c r="B6" s="29" t="s">
        <v>175</v>
      </c>
      <c r="C6" s="24" t="s">
        <v>176</v>
      </c>
      <c r="D6" s="24" t="s">
        <v>177</v>
      </c>
      <c r="E6" s="24" t="s">
        <v>180</v>
      </c>
      <c r="F6" s="21"/>
      <c r="G6" s="21"/>
    </row>
    <row r="7" spans="1:7" ht="27.6">
      <c r="A7" s="19">
        <v>46270</v>
      </c>
      <c r="B7" s="26" t="s">
        <v>181</v>
      </c>
      <c r="C7" s="21" t="s">
        <v>182</v>
      </c>
      <c r="D7" s="21" t="s">
        <v>183</v>
      </c>
      <c r="E7" s="21" t="s">
        <v>184</v>
      </c>
      <c r="F7" s="21"/>
      <c r="G7" s="21"/>
    </row>
    <row r="8" spans="1:7" ht="27.6">
      <c r="A8" s="19"/>
      <c r="B8" s="26" t="s">
        <v>185</v>
      </c>
      <c r="C8" s="21" t="s">
        <v>134</v>
      </c>
      <c r="D8" s="21" t="s">
        <v>186</v>
      </c>
      <c r="E8" s="21" t="s">
        <v>187</v>
      </c>
      <c r="F8" s="21" t="s">
        <v>134</v>
      </c>
      <c r="G8" s="21" t="s">
        <v>188</v>
      </c>
    </row>
    <row r="9" spans="1:7">
      <c r="A9" s="19"/>
      <c r="B9" s="26"/>
      <c r="C9" s="21"/>
      <c r="D9" s="21"/>
      <c r="E9" s="21"/>
      <c r="F9" s="21"/>
      <c r="G9" s="21"/>
    </row>
    <row r="11" spans="1:7" ht="14.4">
      <c r="A11" s="43" t="s">
        <v>189</v>
      </c>
      <c r="B11" s="43"/>
      <c r="C11" s="43"/>
      <c r="D11" s="43"/>
      <c r="E11" s="43"/>
      <c r="F11" s="43"/>
      <c r="G11" s="43"/>
    </row>
    <row r="17" spans="5:5">
      <c r="E17" s="16"/>
    </row>
  </sheetData>
  <mergeCells count="2">
    <mergeCell ref="A1:G1"/>
    <mergeCell ref="A11:G11"/>
  </mergeCells>
  <dataValidations count="1">
    <dataValidation type="list" sqref="B4:B9" xr:uid="{00000000-0002-0000-0400-000000000000}">
      <formula1>"CTU Discussion Board,Email,Teams/Zoom,Phone,Shared Document,Other"</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0B949-B3EE-4D65-B88D-B94EA6382050}">
  <dimension ref="A1:G17"/>
  <sheetViews>
    <sheetView workbookViewId="0">
      <selection activeCell="C18" sqref="C18"/>
    </sheetView>
  </sheetViews>
  <sheetFormatPr defaultRowHeight="13.8"/>
  <cols>
    <col min="1" max="1" width="14" customWidth="1"/>
    <col min="2" max="2" width="22" customWidth="1"/>
    <col min="3" max="3" width="32" customWidth="1"/>
    <col min="4" max="4" width="30" customWidth="1"/>
    <col min="5" max="5" width="46" customWidth="1"/>
    <col min="6" max="6" width="22" customWidth="1"/>
    <col min="7" max="7" width="35" customWidth="1"/>
  </cols>
  <sheetData>
    <row r="1" spans="1:7" ht="30" customHeight="1">
      <c r="A1" s="40" t="s">
        <v>235</v>
      </c>
      <c r="B1" s="40"/>
      <c r="C1" s="40"/>
      <c r="D1" s="40"/>
      <c r="E1" s="40"/>
      <c r="F1" s="40"/>
      <c r="G1" s="40"/>
    </row>
    <row r="3" spans="1:7">
      <c r="A3" s="1" t="s">
        <v>119</v>
      </c>
      <c r="B3" s="1" t="s">
        <v>169</v>
      </c>
      <c r="C3" s="1" t="s">
        <v>170</v>
      </c>
      <c r="D3" s="1" t="s">
        <v>171</v>
      </c>
      <c r="E3" s="1" t="s">
        <v>172</v>
      </c>
      <c r="F3" s="1" t="s">
        <v>173</v>
      </c>
      <c r="G3" s="1" t="s">
        <v>174</v>
      </c>
    </row>
    <row r="4" spans="1:7">
      <c r="A4" s="19">
        <v>46268</v>
      </c>
      <c r="B4" s="26" t="s">
        <v>175</v>
      </c>
      <c r="C4" s="21" t="s">
        <v>176</v>
      </c>
      <c r="D4" s="21" t="s">
        <v>177</v>
      </c>
      <c r="E4" s="21" t="s">
        <v>178</v>
      </c>
      <c r="F4" s="21"/>
      <c r="G4" s="21"/>
    </row>
    <row r="5" spans="1:7" ht="41.4">
      <c r="A5" s="19">
        <v>46270</v>
      </c>
      <c r="B5" s="29" t="s">
        <v>175</v>
      </c>
      <c r="C5" s="24" t="s">
        <v>176</v>
      </c>
      <c r="D5" s="29" t="s">
        <v>177</v>
      </c>
      <c r="E5" s="21" t="s">
        <v>179</v>
      </c>
      <c r="F5" s="21"/>
      <c r="G5" s="21"/>
    </row>
    <row r="6" spans="1:7" ht="41.4">
      <c r="A6" s="19">
        <v>46271</v>
      </c>
      <c r="B6" s="29" t="s">
        <v>175</v>
      </c>
      <c r="C6" s="24" t="s">
        <v>176</v>
      </c>
      <c r="D6" s="24" t="s">
        <v>177</v>
      </c>
      <c r="E6" s="24" t="s">
        <v>180</v>
      </c>
      <c r="F6" s="21"/>
      <c r="G6" s="21"/>
    </row>
    <row r="7" spans="1:7" ht="27.6">
      <c r="A7" s="19">
        <v>46270</v>
      </c>
      <c r="B7" s="26" t="s">
        <v>181</v>
      </c>
      <c r="C7" s="21" t="s">
        <v>182</v>
      </c>
      <c r="D7" s="21" t="s">
        <v>183</v>
      </c>
      <c r="E7" s="21" t="s">
        <v>184</v>
      </c>
      <c r="F7" s="21"/>
      <c r="G7" s="21"/>
    </row>
    <row r="8" spans="1:7" ht="27.6">
      <c r="A8" s="19"/>
      <c r="B8" s="26" t="s">
        <v>185</v>
      </c>
      <c r="C8" s="21" t="s">
        <v>134</v>
      </c>
      <c r="D8" s="21" t="s">
        <v>186</v>
      </c>
      <c r="E8" s="21" t="s">
        <v>187</v>
      </c>
      <c r="F8" s="21" t="s">
        <v>134</v>
      </c>
      <c r="G8" s="21" t="s">
        <v>188</v>
      </c>
    </row>
    <row r="9" spans="1:7">
      <c r="A9" s="19"/>
      <c r="B9" s="26"/>
      <c r="C9" s="21"/>
      <c r="D9" s="21"/>
      <c r="E9" s="21"/>
      <c r="F9" s="21"/>
      <c r="G9" s="21"/>
    </row>
    <row r="11" spans="1:7" ht="14.4">
      <c r="A11" s="43" t="s">
        <v>189</v>
      </c>
      <c r="B11" s="43"/>
      <c r="C11" s="43"/>
      <c r="D11" s="43"/>
      <c r="E11" s="43"/>
      <c r="F11" s="43"/>
      <c r="G11" s="43"/>
    </row>
    <row r="17" spans="5:5">
      <c r="E17" s="16"/>
    </row>
  </sheetData>
  <mergeCells count="2">
    <mergeCell ref="A1:G1"/>
    <mergeCell ref="A11:G11"/>
  </mergeCells>
  <dataValidations count="1">
    <dataValidation type="list" sqref="B4:B9" xr:uid="{252610E0-27AF-4289-9708-CA7FBBD5A472}">
      <formula1>"CTU Discussion Board,Email,Teams/Zoom,Phone,Shared Document,Other"</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3"/>
  <sheetViews>
    <sheetView showGridLines="0" workbookViewId="0">
      <selection activeCell="A13" sqref="A13:D13"/>
    </sheetView>
  </sheetViews>
  <sheetFormatPr defaultRowHeight="13.8"/>
  <cols>
    <col min="1" max="1" width="40" customWidth="1"/>
    <col min="2" max="2" width="12" customWidth="1"/>
    <col min="3" max="3" width="20" customWidth="1"/>
    <col min="4" max="4" width="58" customWidth="1"/>
  </cols>
  <sheetData>
    <row r="1" spans="1:4" ht="30" customHeight="1">
      <c r="A1" s="40" t="s">
        <v>190</v>
      </c>
      <c r="B1" s="40"/>
      <c r="C1" s="40"/>
      <c r="D1" s="40"/>
    </row>
    <row r="3" spans="1:4">
      <c r="A3" s="1" t="s">
        <v>191</v>
      </c>
      <c r="B3" s="1" t="s">
        <v>192</v>
      </c>
      <c r="C3" s="1" t="s">
        <v>17</v>
      </c>
      <c r="D3" s="1" t="s">
        <v>193</v>
      </c>
    </row>
    <row r="4" spans="1:4">
      <c r="A4" s="3" t="s">
        <v>194</v>
      </c>
      <c r="B4" s="3">
        <v>25</v>
      </c>
      <c r="C4" s="21" t="s">
        <v>25</v>
      </c>
      <c r="D4" s="3" t="s">
        <v>195</v>
      </c>
    </row>
    <row r="5" spans="1:4" ht="27.6">
      <c r="A5" s="3" t="s">
        <v>196</v>
      </c>
      <c r="B5" s="3">
        <v>25</v>
      </c>
      <c r="C5" s="21" t="s">
        <v>25</v>
      </c>
      <c r="D5" s="3" t="s">
        <v>197</v>
      </c>
    </row>
    <row r="6" spans="1:4">
      <c r="A6" s="3" t="s">
        <v>198</v>
      </c>
      <c r="B6" s="3">
        <v>25</v>
      </c>
      <c r="C6" s="21" t="s">
        <v>25</v>
      </c>
      <c r="D6" s="3" t="s">
        <v>199</v>
      </c>
    </row>
    <row r="7" spans="1:4">
      <c r="A7" s="3" t="s">
        <v>200</v>
      </c>
      <c r="B7" s="3">
        <v>25</v>
      </c>
      <c r="C7" s="21" t="s">
        <v>25</v>
      </c>
      <c r="D7" s="3" t="s">
        <v>201</v>
      </c>
    </row>
    <row r="8" spans="1:4">
      <c r="A8" s="3" t="s">
        <v>202</v>
      </c>
      <c r="B8" s="3">
        <v>15</v>
      </c>
      <c r="C8" s="21" t="s">
        <v>25</v>
      </c>
      <c r="D8" s="3" t="s">
        <v>203</v>
      </c>
    </row>
    <row r="9" spans="1:4" ht="27.6">
      <c r="A9" s="3" t="s">
        <v>204</v>
      </c>
      <c r="B9" s="3">
        <v>10</v>
      </c>
      <c r="C9" s="21" t="s">
        <v>25</v>
      </c>
      <c r="D9" s="3" t="s">
        <v>205</v>
      </c>
    </row>
    <row r="10" spans="1:4">
      <c r="A10" s="7"/>
      <c r="B10" s="7"/>
      <c r="C10" s="7"/>
      <c r="D10" s="7"/>
    </row>
    <row r="11" spans="1:4">
      <c r="A11" s="30" t="s">
        <v>206</v>
      </c>
      <c r="B11" s="30">
        <v>125</v>
      </c>
      <c r="C11" s="7"/>
      <c r="D11" s="7"/>
    </row>
    <row r="12" spans="1:4">
      <c r="A12" s="7"/>
      <c r="B12" s="7"/>
      <c r="C12" s="7"/>
      <c r="D12" s="7"/>
    </row>
    <row r="13" spans="1:4">
      <c r="A13" s="41"/>
      <c r="B13" s="41"/>
      <c r="C13" s="41"/>
      <c r="D13" s="41"/>
    </row>
  </sheetData>
  <mergeCells count="2">
    <mergeCell ref="A1:D1"/>
    <mergeCell ref="A13:D13"/>
  </mergeCells>
  <dataValidations count="1">
    <dataValidation type="list" sqref="C4:C9" xr:uid="{00000000-0002-0000-0500-000000000000}">
      <formula1>"Not Ready,Ready for Review,Complete"</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3"/>
  <sheetViews>
    <sheetView zoomScaleNormal="100" zoomScaleSheetLayoutView="100" workbookViewId="0">
      <selection activeCell="D4" sqref="D4"/>
    </sheetView>
  </sheetViews>
  <sheetFormatPr defaultRowHeight="13.8"/>
  <cols>
    <col min="1" max="1" width="40" customWidth="1"/>
    <col min="2" max="2" width="12" customWidth="1"/>
    <col min="3" max="3" width="20" customWidth="1"/>
    <col min="4" max="4" width="58" customWidth="1"/>
  </cols>
  <sheetData>
    <row r="1" spans="1:4" ht="30" customHeight="1">
      <c r="A1" s="40" t="s">
        <v>207</v>
      </c>
      <c r="B1" s="40"/>
      <c r="C1" s="40"/>
      <c r="D1" s="40"/>
    </row>
    <row r="3" spans="1:4">
      <c r="A3" s="1" t="s">
        <v>191</v>
      </c>
      <c r="B3" s="1" t="s">
        <v>192</v>
      </c>
      <c r="C3" s="1" t="s">
        <v>17</v>
      </c>
      <c r="D3" s="1" t="s">
        <v>193</v>
      </c>
    </row>
    <row r="4" spans="1:4" ht="27.6">
      <c r="A4" s="18" t="s">
        <v>208</v>
      </c>
      <c r="B4" s="3">
        <v>20</v>
      </c>
      <c r="C4" s="21" t="s">
        <v>25</v>
      </c>
      <c r="D4" s="3" t="s">
        <v>252</v>
      </c>
    </row>
    <row r="5" spans="1:4" ht="41.4">
      <c r="A5" s="3" t="s">
        <v>209</v>
      </c>
      <c r="B5" s="3">
        <v>30</v>
      </c>
      <c r="C5" s="21" t="s">
        <v>25</v>
      </c>
      <c r="D5" s="3" t="s">
        <v>210</v>
      </c>
    </row>
    <row r="6" spans="1:4" ht="27.6">
      <c r="A6" s="3" t="s">
        <v>211</v>
      </c>
      <c r="B6" s="3">
        <v>30</v>
      </c>
      <c r="C6" s="21" t="s">
        <v>25</v>
      </c>
      <c r="D6" s="3" t="s">
        <v>212</v>
      </c>
    </row>
    <row r="7" spans="1:4" ht="41.4">
      <c r="A7" s="3" t="s">
        <v>213</v>
      </c>
      <c r="B7" s="3">
        <v>20</v>
      </c>
      <c r="C7" s="21" t="s">
        <v>25</v>
      </c>
      <c r="D7" s="3" t="s">
        <v>214</v>
      </c>
    </row>
    <row r="8" spans="1:4" ht="41.4">
      <c r="A8" s="3" t="s">
        <v>215</v>
      </c>
      <c r="B8" s="3">
        <v>15</v>
      </c>
      <c r="C8" s="21" t="s">
        <v>25</v>
      </c>
      <c r="D8" s="3" t="s">
        <v>216</v>
      </c>
    </row>
    <row r="9" spans="1:4" ht="55.2">
      <c r="A9" s="3" t="s">
        <v>217</v>
      </c>
      <c r="B9" s="3">
        <v>10</v>
      </c>
      <c r="C9" s="21" t="s">
        <v>25</v>
      </c>
      <c r="D9" s="3" t="s">
        <v>218</v>
      </c>
    </row>
    <row r="10" spans="1:4">
      <c r="A10" s="7"/>
      <c r="B10" s="7"/>
      <c r="C10" s="7"/>
      <c r="D10" s="7"/>
    </row>
    <row r="11" spans="1:4">
      <c r="A11" s="30" t="s">
        <v>206</v>
      </c>
      <c r="B11" s="30">
        <v>125</v>
      </c>
      <c r="C11" s="7"/>
      <c r="D11" s="7"/>
    </row>
    <row r="12" spans="1:4">
      <c r="A12" s="7"/>
      <c r="B12" s="7"/>
      <c r="C12" s="7"/>
      <c r="D12" s="7"/>
    </row>
    <row r="13" spans="1:4">
      <c r="A13" s="41" t="s">
        <v>219</v>
      </c>
      <c r="B13" s="41"/>
      <c r="C13" s="41"/>
      <c r="D13" s="41"/>
    </row>
  </sheetData>
  <mergeCells count="2">
    <mergeCell ref="A1:D1"/>
    <mergeCell ref="A13:D13"/>
  </mergeCells>
  <dataValidations count="1">
    <dataValidation type="list" sqref="C4:C9" xr:uid="{00000000-0002-0000-0600-000000000000}">
      <formula1>"Not Ready,Ready for Review,Complete"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Sprint 1 - Week 1</vt:lpstr>
      <vt:lpstr>Sprint 1 - Week 2</vt:lpstr>
      <vt:lpstr>Sprint 2 - Week 1</vt:lpstr>
      <vt:lpstr>Hours Log Week-1</vt:lpstr>
      <vt:lpstr>Hours Log Week 2</vt:lpstr>
      <vt:lpstr>Hours Log Week 3</vt:lpstr>
      <vt:lpstr>Team Communication</vt:lpstr>
      <vt:lpstr>Sheet4</vt:lpstr>
      <vt:lpstr>Week 1 Submission Checklist</vt:lpstr>
      <vt:lpstr>Week 2 Submission Checklist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Floyd Coyne</cp:lastModifiedBy>
  <cp:revision/>
  <dcterms:created xsi:type="dcterms:W3CDTF">2026-09-12T09:30:22Z</dcterms:created>
  <dcterms:modified xsi:type="dcterms:W3CDTF">2026-09-17T13:31:18Z</dcterms:modified>
  <cp:category/>
  <cp:contentStatus/>
</cp:coreProperties>
</file>